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5.xml.rels" ContentType="application/vnd.openxmlformats-package.relationships+xml"/>
  <Override PartName="/xl/worksheets/_rels/sheet4.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1.xml.rels" ContentType="application/vnd.openxmlformats-package.relationships+xml"/>
  <Override PartName="/xl/drawings/drawing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ómo usar" sheetId="1" state="visible" r:id="rId3"/>
    <sheet name="Gráficas" sheetId="2" state="visible" r:id="rId4"/>
    <sheet name="Programas" sheetId="3" state="visible" r:id="rId5"/>
    <sheet name="Acciones" sheetId="4" state="visible" r:id="rId6"/>
    <sheet name="Metas" sheetId="5" state="visible" r:id="rId7"/>
    <sheet name="Análisis" sheetId="6" state="visible" r:id="rId8"/>
    <sheet name="Minciencias" sheetId="7" state="visible" r:id="rId9"/>
    <sheet name="Logros_adicionales" sheetId="8" state="visible" r:id="rId10"/>
    <sheet name="Preguntas_formato" sheetId="9" state="visible" r:id="rId11"/>
  </sheets>
  <definedNames>
    <definedName function="false" hidden="true" localSheetId="3" name="_xlnm._FilterDatabase" vbProcedure="false">Acciones!$A$1:$Z$34</definedName>
    <definedName function="false" hidden="true" localSheetId="4" name="_xlnm._FilterDatabase" vbProcedure="false">Metas!$A$1:$Z$107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<sst xmlns="http://schemas.openxmlformats.org/spreadsheetml/2006/main" count="1679" uniqueCount="936">
  <si>
    <t xml:space="preserve">Cierre del plan estratégico CINDE 2022-2026 · Datos del tablero</t>
  </si>
  <si>
    <t xml:space="preserve">Este archivo es la fuente del tablero. Para actualizarlo, edite las hojas y envíe el archivo para cargarlo de nuevo.</t>
  </si>
  <si>
    <t xml:space="preserve">Metas: una fila por meta del plan. Edite las columnas Logrado, Pendiente y Porcentaje (número de 0 a 100, sin el signo %).</t>
  </si>
  <si>
    <t xml:space="preserve">Acciones: una fila por acción. Edite Estado (En curso, Rezagado, Mixto o Cumplido), Estado detalle, Logrado y Pendiente.</t>
  </si>
  <si>
    <t xml:space="preserve">Programas: una fila por programa. Edite Estado, Logrado y Pendiente.</t>
  </si>
  <si>
    <t xml:space="preserve">Las columnas en gris (% final) son fórmulas: el % de la acción es el promedio de sus metas, y el % del programa es el promedio de sus acciones del plan (sin las filas fuera del plan). No las edite.</t>
  </si>
  <si>
    <t xml:space="preserve">Tipo de meta: Priorizada, No priorizada o Fuera del plan. Fuera del plan = 'Sí' excluye la acción del promedio del programa.</t>
  </si>
  <si>
    <t xml:space="preserve">Para agregar una meta, copie una fila en Metas y use un meta_id nuevo con el accion_id de su acción (ej.: P4-A1-M5).</t>
  </si>
  <si>
    <t xml:space="preserve">Los datos marcados con * provienen del plan de mejoramiento Minciencias o del informe de gestión y no fueron verificados.</t>
  </si>
  <si>
    <t xml:space="preserve">Hojas Gráficas y Análisis: se calculan solas a partir de Programas, Acciones y Metas. No las edite. La página web no las lee, así que no afectan el tablero.</t>
  </si>
  <si>
    <t xml:space="preserve">Hoja Minciencias y columna categoria_minciencias (hoja Metas): ubican cada meta en una categoría del formato de autoevaluación de Minciencias. Para cambiar la ubicación de una meta, elija otra categoría en esa columna. La página web usa estos datos en la pestaña "Informe para reconocimiento de CINDE como centro de investigación".</t>
  </si>
  <si>
    <t xml:space="preserve">Las categorías de la hoja Minciencias se tomaron del formato m601pr05g04f01 (informe de autoevaluación para el reconocimiento de centros de investigación). El criterio 4.1 se divide en las tres tipologías de producto: nuevo conocimiento, apropiación social y formación de investigadores.</t>
  </si>
  <si>
    <t xml:space="preserve">Hoja Logros_adicionales: logros revisados en los informes que no son metas del plan; la página los muestra en su categoría de Minciencias.</t>
  </si>
  <si>
    <t xml:space="preserve">Hoja Preguntas_formato: todas las preguntas del formato de Minciencias por criterio, con la respuesta (Sí, No o Sin evidencia) según las evidencias del plan estratégico. Cuando un área responda una pregunta, escriba la respuesta en la columna amarilla respuesta_area y, si corresponde, cambie la columna respuesta.</t>
  </si>
  <si>
    <t xml:space="preserve">Cierre del plan estratégico CINDE 2022-2026</t>
  </si>
  <si>
    <t xml:space="preserve">Las gráficas se actualizan solas con los datos de la hoja Metas. Falta el P7 (Finanzas e infraestructura).</t>
  </si>
  <si>
    <t xml:space="preserve">Avance del plan</t>
  </si>
  <si>
    <t xml:space="preserve">Acciones del plan</t>
  </si>
  <si>
    <t xml:space="preserve">Cumplidas</t>
  </si>
  <si>
    <t xml:space="preserve">En curso</t>
  </si>
  <si>
    <t xml:space="preserve">Rezagadas</t>
  </si>
  <si>
    <t xml:space="preserve">Mixtas</t>
  </si>
  <si>
    <t xml:space="preserve">Lectura</t>
  </si>
  <si>
    <t xml:space="preserve">programa_id</t>
  </si>
  <si>
    <t xml:space="preserve">programa</t>
  </si>
  <si>
    <t xml:space="preserve">estado</t>
  </si>
  <si>
    <t xml:space="preserve">logrado</t>
  </si>
  <si>
    <t xml:space="preserve">pendiente</t>
  </si>
  <si>
    <t xml:space="preserve">% final</t>
  </si>
  <si>
    <t xml:space="preserve">P1</t>
  </si>
  <si>
    <t xml:space="preserve">P1 Investigación-desarrollo</t>
  </si>
  <si>
    <t xml:space="preserve">Grupos categorizados; proyectos del SGR destacados; producción continua</t>
  </si>
  <si>
    <t xml:space="preserve">Medición por investigador; oferta propia sin financiar; nuevas generaciones</t>
  </si>
  <si>
    <t xml:space="preserve">P2</t>
  </si>
  <si>
    <t xml:space="preserve">P2 Formación</t>
  </si>
  <si>
    <t xml:space="preserve">Acreditaciones, registros y cohortes por convenios</t>
  </si>
  <si>
    <t xml:space="preserve">Nuevos programas sin cohorte; Maestría en Primera Infancia</t>
  </si>
  <si>
    <t xml:space="preserve">P3</t>
  </si>
  <si>
    <t xml:space="preserve">P3 Circulación del conocimiento</t>
  </si>
  <si>
    <t xml:space="preserve">Revistas, producción editorial, redes y eventos internacionales</t>
  </si>
  <si>
    <t xml:space="preserve">Documentos sin aprobar; feria propia; convenios de circulación; mediciones</t>
  </si>
  <si>
    <t xml:space="preserve">P4</t>
  </si>
  <si>
    <t xml:space="preserve">P4 Transformación digital</t>
  </si>
  <si>
    <t xml:space="preserve">Sistemas, infraestructura y soporte</t>
  </si>
  <si>
    <t xml:space="preserve">Escuela Digital: plataforma, modelo pedagógico, metodologías y cursos internacionales</t>
  </si>
  <si>
    <t xml:space="preserve">P5</t>
  </si>
  <si>
    <t xml:space="preserve">P5 Planeación y CEA</t>
  </si>
  <si>
    <t xml:space="preserve">Reconocimiento ante Minciencias; gestión de recursos; nueva estructura</t>
  </si>
  <si>
    <t xml:space="preserve">Documentos sin aprobar; ningún CEA nuevo; ingresos lejos de la meta</t>
  </si>
  <si>
    <t xml:space="preserve">P6</t>
  </si>
  <si>
    <t xml:space="preserve">P6 Talento humano</t>
  </si>
  <si>
    <t xml:space="preserve">Nivelación salarial, SG-SST y talleres</t>
  </si>
  <si>
    <t xml:space="preserve">Políticas formales y mediciones de clima y percepción</t>
  </si>
  <si>
    <t xml:space="preserve">accion_id</t>
  </si>
  <si>
    <t xml:space="preserve">accion</t>
  </si>
  <si>
    <t xml:space="preserve">estado_detalle</t>
  </si>
  <si>
    <t xml:space="preserve">fuera_del_plan</t>
  </si>
  <si>
    <t xml:space="preserve">P1-A1</t>
  </si>
  <si>
    <t xml:space="preserve">A1 Grupos y líneas de investigación</t>
  </si>
  <si>
    <t xml:space="preserve">En curso (priorizada 80%) / Rezagado (no priorizada 50%)</t>
  </si>
  <si>
    <t xml:space="preserve">No</t>
  </si>
  <si>
    <t xml:space="preserve">3 de 4 grupos en A1 o A; 6 líneas articuladas; 50 productos de apropiación (2026); más de 5.900 actores (2024)</t>
  </si>
  <si>
    <t xml:space="preserve">Grupo de Desarrollo Rural en C; medición por investigador; publicar la sistematización</t>
  </si>
  <si>
    <t xml:space="preserve">P1-A2</t>
  </si>
  <si>
    <t xml:space="preserve">A2 Co-creación de programas y proyectos</t>
  </si>
  <si>
    <t xml:space="preserve">Mixto</t>
  </si>
  <si>
    <t xml:space="preserve">En curso (priorizada 75%) / Rezagado (no priorizada 30%)</t>
  </si>
  <si>
    <t xml:space="preserve">Primer lugar en desempeño del SGR; más de 5 proyectos y el programa Territorios del Buen Vivir; colaboratorio; Ékora</t>
  </si>
  <si>
    <t xml:space="preserve">Seguimiento a todos los proyectos; encuentros semestrales; financiar la oferta propia; Ékora suspendida</t>
  </si>
  <si>
    <t xml:space="preserve">P1-A3</t>
  </si>
  <si>
    <t xml:space="preserve">A3 Semilleros y jóvenes investigadores</t>
  </si>
  <si>
    <t xml:space="preserve">Rezagado</t>
  </si>
  <si>
    <t xml:space="preserve">Rezagado (priorizada 30%, no priorizada 60%)</t>
  </si>
  <si>
    <t xml:space="preserve">5 jóvenes investigadores (2022); 2 practicantes y convenio con la UdeA (2025); lineamiento de semilleros</t>
  </si>
  <si>
    <t xml:space="preserve">Datos de 2023 a 2026; conteo de semilleros; diplomado sin participantes</t>
  </si>
  <si>
    <t xml:space="preserve">P2-A1</t>
  </si>
  <si>
    <t xml:space="preserve">A1 Nueva oferta de formación avanzada y continua</t>
  </si>
  <si>
    <t xml:space="preserve">Registro del Doctorado en Educación (2026)*; documento maestro de la Maestría en Paz; MEDH Sabaneta renovada; especializaciones con CLACSO</t>
  </si>
  <si>
    <t xml:space="preserve">Cohortes de los nuevos programas; MEDH Manizales; 4 programas de formación continua al año</t>
  </si>
  <si>
    <t xml:space="preserve">P2-A2</t>
  </si>
  <si>
    <t xml:space="preserve">A2 Aseguramiento de la calidad</t>
  </si>
  <si>
    <t xml:space="preserve">En curso (priorizada 77%) / Rezagado (no priorizada 10%)</t>
  </si>
  <si>
    <t xml:space="preserve">Acreditación de la MDES por 6 años (2023); reacreditación del doctorado*; transformaciones del doctorado implementadas</t>
  </si>
  <si>
    <t xml:space="preserve">Acreditación MEDH Sabaneta; renovación MEDH Manizales; Maestría en Primera Infancia</t>
  </si>
  <si>
    <t xml:space="preserve">P2-A3</t>
  </si>
  <si>
    <t xml:space="preserve">A3 Sostenibilidad de los programas</t>
  </si>
  <si>
    <t xml:space="preserve">Convenios que generaron cohortes; 3 de 4 programas en punto de equilibrio; plan de marketing; incentivos al 90%</t>
  </si>
  <si>
    <t xml:space="preserve">Maestría en Primera Infancia; equilibrio en todos los programas; aprobar incentivos</t>
  </si>
  <si>
    <t xml:space="preserve">P3-A1</t>
  </si>
  <si>
    <t xml:space="preserve">A1 Comunicación estratégica</t>
  </si>
  <si>
    <t xml:space="preserve">Plan integral de comunicación al 85%; alianzas con Alliance CPHA y la U. Luis Amigó; planes de mercadeo 2025 y 2026</t>
  </si>
  <si>
    <t xml:space="preserve">Aprobar el manual; alianzas con medios; formato continuo; espacio con egresados</t>
  </si>
  <si>
    <t xml:space="preserve">P3-A2</t>
  </si>
  <si>
    <t xml:space="preserve">A2 Comunicación para el desarrollo</t>
  </si>
  <si>
    <t xml:space="preserve">Productos con actores casi todos los años; participación en ferias externas</t>
  </si>
  <si>
    <t xml:space="preserve">Feria propia de I+D; plan de periodismo científico</t>
  </si>
  <si>
    <t xml:space="preserve">P3-A3</t>
  </si>
  <si>
    <t xml:space="preserve">A3 Línea editorial</t>
  </si>
  <si>
    <t xml:space="preserve">RLCSNJ en CAPES A2 y Aletheia en B; 19 libros y cartillas (2026); coediciones con CLACSO y UMZ</t>
  </si>
  <si>
    <t xml:space="preserve">Política editorial; plan anual formal; coedición anual; catálogo; egresados</t>
  </si>
  <si>
    <t xml:space="preserve">P3-A4</t>
  </si>
  <si>
    <t xml:space="preserve">A4 Redes, eventos y movilidades</t>
  </si>
  <si>
    <t xml:space="preserve">En curso (priorizada 45%) / Rezagado (no priorizada 25%)</t>
  </si>
  <si>
    <t xml:space="preserve">27 redes (2022) y 29 (2025); eventos anuales con aliados; incidencia en NiñezYA y Alianza por la Niñez</t>
  </si>
  <si>
    <t xml:space="preserve">Medir el incremento; redes en Europa y Norteamérica; protocolos; convenio de circulación</t>
  </si>
  <si>
    <t xml:space="preserve">P3-N</t>
  </si>
  <si>
    <t xml:space="preserve">P3-N Metas editoriales nuevas</t>
  </si>
  <si>
    <t xml:space="preserve">Sí</t>
  </si>
  <si>
    <t xml:space="preserve">Vinculación a MBIES y al Comité de Editoriales Universitarias de Antioquia</t>
  </si>
  <si>
    <t xml:space="preserve">Publicación con lenguajes diversos; soporte de capacitaciones</t>
  </si>
  <si>
    <t xml:space="preserve">P4-A1</t>
  </si>
  <si>
    <t xml:space="preserve">A1 Transformación digital</t>
  </si>
  <si>
    <t xml:space="preserve">SII con módulos de I+D, formación, certificaciones, proveedores y laboral; mapeo de convocatorias</t>
  </si>
  <si>
    <t xml:space="preserve">Costeo de proyectos; documentación; plan de formación</t>
  </si>
  <si>
    <t xml:space="preserve">P4-A2</t>
  </si>
  <si>
    <t xml:space="preserve">A2 Infraestructura tecnológica</t>
  </si>
  <si>
    <t xml:space="preserve">Internet de 200 a 900 MB, VPS, 12 equipos y migración de servidores; licenciamiento; mesa de ayuda</t>
  </si>
  <si>
    <t xml:space="preserve">Ruta formal; red y seguridad; Office 2027</t>
  </si>
  <si>
    <t xml:space="preserve">P4-A3</t>
  </si>
  <si>
    <t xml:space="preserve">A3 Plataforma digital (Ékora)</t>
  </si>
  <si>
    <t xml:space="preserve">Ékora lanzada (2024); 10 productos; 80% de funcionalidad (2025)</t>
  </si>
  <si>
    <t xml:space="preserve">Suspendida desde septiembre de 2025</t>
  </si>
  <si>
    <t xml:space="preserve">P4-A4</t>
  </si>
  <si>
    <t xml:space="preserve">A4 Modelo pedagógico digital</t>
  </si>
  <si>
    <t xml:space="preserve">Rezagado (priorizada 25%, no priorizada 30%)</t>
  </si>
  <si>
    <t xml:space="preserve">10 productos en Ékora; módulos de Convidarte, bíosala y MOOC</t>
  </si>
  <si>
    <t xml:space="preserve">Modelo estandarizado; conteo de capacitados; informe de evaluación</t>
  </si>
  <si>
    <t xml:space="preserve">P4-A5</t>
  </si>
  <si>
    <t xml:space="preserve">A5 Metodologías lúdicas en lo digital</t>
  </si>
  <si>
    <t xml:space="preserve">En curso (priorizada 55%) / Rezagado (no priorizada 20%)</t>
  </si>
  <si>
    <t xml:space="preserve">2 proyectos cerrados y 2 en piloto</t>
  </si>
  <si>
    <t xml:space="preserve">Laboratorio de realidad virtual; metodologías; modelo de atracción</t>
  </si>
  <si>
    <t xml:space="preserve">P4-A6</t>
  </si>
  <si>
    <t xml:space="preserve">A6 Escuela Digital internacional</t>
  </si>
  <si>
    <t xml:space="preserve">Ékora solo hizo el mapeo de instituciones</t>
  </si>
  <si>
    <t xml:space="preserve">Alianzas, cursos y promoción internacional de Ékora</t>
  </si>
  <si>
    <t xml:space="preserve">P4-N</t>
  </si>
  <si>
    <t xml:space="preserve">P4-N Ventas de Ékora</t>
  </si>
  <si>
    <t xml:space="preserve">CRM en HubSpot; 1 curso vendido por $4 millones</t>
  </si>
  <si>
    <t xml:space="preserve">Ventas sin continuidad</t>
  </si>
  <si>
    <t xml:space="preserve">P5-A1</t>
  </si>
  <si>
    <t xml:space="preserve">A1 Autoevaluación y reconocimiento ante Minciencias</t>
  </si>
  <si>
    <t xml:space="preserve">En curso (priorizada 65%) / Rezagado (no priorizada 10%)</t>
  </si>
  <si>
    <t xml:space="preserve">Reconocimiento renovado (2023); lineamientos de calidad finalizados (2025)</t>
  </si>
  <si>
    <t xml:space="preserve">Aprobar lineamientos; informe 2026; plan de impactos</t>
  </si>
  <si>
    <t xml:space="preserve">P5-A2</t>
  </si>
  <si>
    <t xml:space="preserve">A2 Gestión de recursos y alianzas</t>
  </si>
  <si>
    <t xml:space="preserve">Regalías por $2.129 millones; 32 propuestas (2023) y 19 (2024); 24% de aprobación (2026)</t>
  </si>
  <si>
    <t xml:space="preserve">Medir el 60%; adjudicación 2026</t>
  </si>
  <si>
    <t xml:space="preserve">P5-A3</t>
  </si>
  <si>
    <t xml:space="preserve">A3 CEANJ</t>
  </si>
  <si>
    <t xml:space="preserve">Rezagado (priorizada 75%, no priorizada 35%)</t>
  </si>
  <si>
    <t xml:space="preserve">Cierre de Expedición Pacífica y de 2 proyectos de Buen Vivir; sistematización al 75%</t>
  </si>
  <si>
    <t xml:space="preserve">Libro de sistematización; proyectos externos; evaluación de impactos</t>
  </si>
  <si>
    <t xml:space="preserve">P5-A4</t>
  </si>
  <si>
    <t xml:space="preserve">A4 Escalamiento del modelo y nuevos centros</t>
  </si>
  <si>
    <t xml:space="preserve">En curso (si se confirma el acuerdo de 2026)</t>
  </si>
  <si>
    <t xml:space="preserve">Convenios con la U. Luis Amigó y la F. CORPAS; 3 propuestas de CEA con aval</t>
  </si>
  <si>
    <t xml:space="preserve">Ningún CEA creado</t>
  </si>
  <si>
    <t xml:space="preserve">P5-A5</t>
  </si>
  <si>
    <t xml:space="preserve">A5 Procesos con la metodología MEGA</t>
  </si>
  <si>
    <t xml:space="preserve">Nueva estructura; 90% de colaboradores perciben mejoras</t>
  </si>
  <si>
    <t xml:space="preserve">Arquitectura de procesos; otras mediciones</t>
  </si>
  <si>
    <t xml:space="preserve">P5-A6</t>
  </si>
  <si>
    <t xml:space="preserve">A6 Portafolio institucional</t>
  </si>
  <si>
    <t xml:space="preserve">Portafolio al 50%; brochures en construcción</t>
  </si>
  <si>
    <t xml:space="preserve">Portafolios por actor; estrategia aprobada</t>
  </si>
  <si>
    <t xml:space="preserve">P5-A7</t>
  </si>
  <si>
    <t xml:space="preserve">A7 Composición de los ingresos</t>
  </si>
  <si>
    <t xml:space="preserve">43% de oferta propia y 57% de proyectos (2023)</t>
  </si>
  <si>
    <t xml:space="preserve">Medir la composición; equilibrar fuentes</t>
  </si>
  <si>
    <t xml:space="preserve">P5-N</t>
  </si>
  <si>
    <t xml:space="preserve">P5-N Capacitación, planeación y portafolio</t>
  </si>
  <si>
    <t xml:space="preserve">Capacidades en formulación de propuestas; planeación 2026 al 10%</t>
  </si>
  <si>
    <t xml:space="preserve">Sin seguimiento desde el Q1 de 2026</t>
  </si>
  <si>
    <t xml:space="preserve">P6-A1</t>
  </si>
  <si>
    <t xml:space="preserve">A1 Bienestar, reconocimiento e incentivos</t>
  </si>
  <si>
    <t xml:space="preserve">9 talleres de indagación; encuentros nacionales 2025 y 2026; incentivos al 90%</t>
  </si>
  <si>
    <t xml:space="preserve">Taller de octubre; aprobar la política; clima</t>
  </si>
  <si>
    <t xml:space="preserve">P6-A2</t>
  </si>
  <si>
    <t xml:space="preserve">A2 SG-SST</t>
  </si>
  <si>
    <t xml:space="preserve">Estándares mínimos al 86%; comités elegidos; plan anual con la ARL</t>
  </si>
  <si>
    <t xml:space="preserve">Capacitación a comités; socializar políticas</t>
  </si>
  <si>
    <t xml:space="preserve">P6-A3</t>
  </si>
  <si>
    <t xml:space="preserve">A3 Modelo por competencias</t>
  </si>
  <si>
    <t xml:space="preserve">Modelo por competencias; manual al 90%; 95% evaluado</t>
  </si>
  <si>
    <t xml:space="preserve">Plan de carrera; plan de formación</t>
  </si>
  <si>
    <t xml:space="preserve">P6-A4</t>
  </si>
  <si>
    <t xml:space="preserve">A4 Selección y vinculación</t>
  </si>
  <si>
    <t xml:space="preserve">Selección al 75%; onboarding; 7 de 8 superan el periodo de prueba</t>
  </si>
  <si>
    <t xml:space="preserve">Política de contratación</t>
  </si>
  <si>
    <t xml:space="preserve">P6-A5</t>
  </si>
  <si>
    <t xml:space="preserve">A5 Política salarial</t>
  </si>
  <si>
    <t xml:space="preserve">Nivelación por roles (2025); 100% de cargos con estructura (2026)</t>
  </si>
  <si>
    <t xml:space="preserve">Documento de política salarial</t>
  </si>
  <si>
    <t xml:space="preserve">P6-A6</t>
  </si>
  <si>
    <t xml:space="preserve">A6 Modelo de arrendamiento</t>
  </si>
  <si>
    <t xml:space="preserve">En curso (priorizada 35%) / Rezagado (no priorizada 15%)</t>
  </si>
  <si>
    <t xml:space="preserve">Avalúos de las casas; contratos de uso en Sabaneta</t>
  </si>
  <si>
    <t xml:space="preserve">Análisis de viabilidad; modelo aprobado</t>
  </si>
  <si>
    <t xml:space="preserve">P6-N</t>
  </si>
  <si>
    <t xml:space="preserve">P6-N Nómina y afiliaciones</t>
  </si>
  <si>
    <t xml:space="preserve">100% en el Q1; migración a Siesa SBS</t>
  </si>
  <si>
    <t xml:space="preserve">Reporte del Q2 y el Q3</t>
  </si>
  <si>
    <t xml:space="preserve">meta_id</t>
  </si>
  <si>
    <t xml:space="preserve">tipo</t>
  </si>
  <si>
    <t xml:space="preserve">meta</t>
  </si>
  <si>
    <t xml:space="preserve">porcentaje</t>
  </si>
  <si>
    <t xml:space="preserve">categoria_minciencias</t>
  </si>
  <si>
    <t xml:space="preserve">P1-A1-M1</t>
  </si>
  <si>
    <t xml:space="preserve">Priorizada</t>
  </si>
  <si>
    <t xml:space="preserve">75% de grupos en los más altos estándares</t>
  </si>
  <si>
    <t xml:space="preserve">3 de 4 grupos en A1 o A (2022 y 2025)</t>
  </si>
  <si>
    <t xml:space="preserve">El grupo de Desarrollo Rural sigue en C</t>
  </si>
  <si>
    <t xml:space="preserve">4.1-NC</t>
  </si>
  <si>
    <t xml:space="preserve">P1-A1-M2</t>
  </si>
  <si>
    <t xml:space="preserve">80% de líneas operando y articuladas con la formación</t>
  </si>
  <si>
    <t xml:space="preserve">7 líneas activas articuladas entre maestría y doctorado; plan de líneas 2025-2030</t>
  </si>
  <si>
    <t xml:space="preserve">Confirmar que son el total de líneas</t>
  </si>
  <si>
    <t xml:space="preserve">P1-A1-M3</t>
  </si>
  <si>
    <t xml:space="preserve">No priorizada</t>
  </si>
  <si>
    <t xml:space="preserve">1 sistematización de transformaciones en líneas y grupos</t>
  </si>
  <si>
    <t xml:space="preserve">Capítulos de impactos y libro Devenires en edición (2022); 2 productos de análisis (2025)</t>
  </si>
  <si>
    <t xml:space="preserve">Publicar el libro y cerrar la sistematización</t>
  </si>
  <si>
    <t xml:space="preserve">P1-A1-M4</t>
  </si>
  <si>
    <t xml:space="preserve">1 producto de nuevo conocimiento al año por investigador y proyecto</t>
  </si>
  <si>
    <t xml:space="preserve">Publicaciones indexadas (2023); 6 publicaciones (2025)</t>
  </si>
  <si>
    <t xml:space="preserve">No se mide por investigador; registro de productos al 22% (2026)</t>
  </si>
  <si>
    <t xml:space="preserve">P1-A1-M5</t>
  </si>
  <si>
    <t xml:space="preserve">1 producto de apropiación social al año por investigador y proyecto</t>
  </si>
  <si>
    <t xml:space="preserve">6 productos (2025); 50 productos en la matriz 2026</t>
  </si>
  <si>
    <t xml:space="preserve">No se mide por investigador; 40% frente a una meta de 50% (2026)</t>
  </si>
  <si>
    <t xml:space="preserve">4.1-ASC</t>
  </si>
  <si>
    <t xml:space="preserve">P1-A1-M6</t>
  </si>
  <si>
    <t xml:space="preserve">Capacidad instalada en 2.500 actores sociales</t>
  </si>
  <si>
    <t xml:space="preserve">Más de 5.900 participantes en proyectos de regalías (2024)</t>
  </si>
  <si>
    <t xml:space="preserve">Ninguno</t>
  </si>
  <si>
    <t xml:space="preserve">P1-A2-M1</t>
  </si>
  <si>
    <t xml:space="preserve">90% de metas técnicas y presupuestales con seguimiento semestral</t>
  </si>
  <si>
    <t xml:space="preserve">100 puntos en GESPROY y primer lugar del SGR (2023); máxima calificación (2024); seguimiento a 8 proyectos (2025)</t>
  </si>
  <si>
    <t xml:space="preserve">Seguimiento a los proyectos que no son del SGR</t>
  </si>
  <si>
    <t xml:space="preserve">P1-A2-M2</t>
  </si>
  <si>
    <t xml:space="preserve">Colaboratorio con encuentro semestral</t>
  </si>
  <si>
    <t xml:space="preserve">Encuentro nacional con 4 macroproyectos co-diseñados (2022); colaboratorio (2025)</t>
  </si>
  <si>
    <t xml:space="preserve">Encuentros semestrales todos los años</t>
  </si>
  <si>
    <t xml:space="preserve">P1-A2-M3</t>
  </si>
  <si>
    <t xml:space="preserve">1 programa nuevo y 5 proyectos</t>
  </si>
  <si>
    <t xml:space="preserve">Programa Territorios del Buen Vivir; más de 5 proyectos nuevos</t>
  </si>
  <si>
    <t xml:space="preserve">Financiar las propuestas de oferta propia de 2026 (35%)</t>
  </si>
  <si>
    <t xml:space="preserve">P1-A2-M4</t>
  </si>
  <si>
    <t xml:space="preserve">100% del equipo de I+D vinculado a programas y proyectos</t>
  </si>
  <si>
    <t xml:space="preserve">Sin evidencia</t>
  </si>
  <si>
    <t xml:space="preserve">Medir la vinculación</t>
  </si>
  <si>
    <t xml:space="preserve">3.1</t>
  </si>
  <si>
    <t xml:space="preserve">P1-A2-M5</t>
  </si>
  <si>
    <t xml:space="preserve">1 escuela digital intercampos</t>
  </si>
  <si>
    <t xml:space="preserve">Ékora lanzada en 2024</t>
  </si>
  <si>
    <t xml:space="preserve">Suspendida desde 2025 (ver P4-A3)</t>
  </si>
  <si>
    <t xml:space="preserve">3.3</t>
  </si>
  <si>
    <t xml:space="preserve">P1-A3-M1</t>
  </si>
  <si>
    <t xml:space="preserve">10 practicantes o pasantes (2 al año)</t>
  </si>
  <si>
    <t xml:space="preserve">2 practicantes y convenio con la UdeA (2025)</t>
  </si>
  <si>
    <t xml:space="preserve">Datos de 2022 a 2024 y de 2026</t>
  </si>
  <si>
    <t xml:space="preserve">4.1-FRH</t>
  </si>
  <si>
    <t xml:space="preserve">P1-A3-M2</t>
  </si>
  <si>
    <t xml:space="preserve">15 estudiantes de pregrado y 10 de posgrado en semilleros</t>
  </si>
  <si>
    <t xml:space="preserve">Lineamiento (2022); semilleros actualizados con la UMZ (2025)</t>
  </si>
  <si>
    <t xml:space="preserve">Conteo de integrantes</t>
  </si>
  <si>
    <t xml:space="preserve">P1-A3-M3</t>
  </si>
  <si>
    <t xml:space="preserve">5 jóvenes investigadores de Minciencias (1 al año)</t>
  </si>
  <si>
    <t xml:space="preserve">2 vinculados y 3 seleccionados (2022)</t>
  </si>
  <si>
    <t xml:space="preserve">Confirmar la contratación; sin datos de 2023 a 2026</t>
  </si>
  <si>
    <t xml:space="preserve">P1-A3-M4</t>
  </si>
  <si>
    <t xml:space="preserve">1 diplomado o seminario de formación en I+D</t>
  </si>
  <si>
    <t xml:space="preserve">Ofrecido en 2025</t>
  </si>
  <si>
    <t xml:space="preserve">Sin participantes</t>
  </si>
  <si>
    <t xml:space="preserve">P2-A1-M1</t>
  </si>
  <si>
    <t xml:space="preserve">1 Maestría virtual en Paz, Memoria y Acción Política</t>
  </si>
  <si>
    <t xml:space="preserve">Documento maestro en versión final</t>
  </si>
  <si>
    <t xml:space="preserve">Registro calificado, convenio con la universidad aliada y primera cohorte</t>
  </si>
  <si>
    <t xml:space="preserve">P2-A1-M2</t>
  </si>
  <si>
    <t xml:space="preserve">1 Doctorado virtual en Educación</t>
  </si>
  <si>
    <t xml:space="preserve">Registro calificado con la U. Luis Amigó (abril de 2026)*</t>
  </si>
  <si>
    <t xml:space="preserve">Primera cohorte (mínimo 15 estudiantes); confirmar la modalidad virtual</t>
  </si>
  <si>
    <t xml:space="preserve">P2-A1-M3</t>
  </si>
  <si>
    <t xml:space="preserve">4 programas anuales de formación continua</t>
  </si>
  <si>
    <t xml:space="preserve">6 procesos desarrollados de 10 ofertados (2022); diplomado con Fe y Alegría y Seminario Internacional sobre violencias y paces (2023); documento base de formación continua (2025); 2 de 3 diplomados (2026)</t>
  </si>
  <si>
    <t xml:space="preserve">Llegar a 4 programas cada año y registrar cuántos hubo por año</t>
  </si>
  <si>
    <t xml:space="preserve">P2-A1-M4</t>
  </si>
  <si>
    <t xml:space="preserve">Registro único de la MEDH (Sabaneta)</t>
  </si>
  <si>
    <t xml:space="preserve">Modificación curricular de Sabaneta, Res. 013364 (2025)</t>
  </si>
  <si>
    <t xml:space="preserve">Resolución de la MEDH Manizales</t>
  </si>
  <si>
    <t xml:space="preserve">P2-A1-M5</t>
  </si>
  <si>
    <t xml:space="preserve">1 Maestría internacional con CLACSO (se ajustó la meta durante el quinquenio por las especializaciones)</t>
  </si>
  <si>
    <t xml:space="preserve">4 especializaciones aprobadas (2024)</t>
  </si>
  <si>
    <t xml:space="preserve">Apertura de cohorte para la cuarta especialización</t>
  </si>
  <si>
    <t xml:space="preserve">P2-A2-M1</t>
  </si>
  <si>
    <t xml:space="preserve">Evaluación continua: registro, acreditación y reacreditación</t>
  </si>
  <si>
    <t xml:space="preserve">Reacreditación del doctorado (2022)*; acreditación de la MDES por 6 años (2023); visitas de pares para acreditacion de alta calidad MEDH SAB (2026); acreditación de alta calidad MEDH MZ (2026); Registro Calificado MEDH SAB (2025)</t>
  </si>
  <si>
    <t xml:space="preserve">Resolución del MEN para la MEDH Manizales</t>
  </si>
  <si>
    <t xml:space="preserve">1.2</t>
  </si>
  <si>
    <t xml:space="preserve">P2-A2-M2</t>
  </si>
  <si>
    <t xml:space="preserve">Actualización curricular</t>
  </si>
  <si>
    <t xml:space="preserve">DCSNJ de 114 a 80 créditos, con segundo lugar de desarrollo en Bogotá; MEDH Sabaneta renovada (Res. 013364); MDES con modalidad presencial apoyada en tecnologías digitales, aprobada por la UPN</t>
  </si>
  <si>
    <t xml:space="preserve">Resolución del MEN para la renovación curricular de la MEDH Manizales</t>
  </si>
  <si>
    <t xml:space="preserve">P2-A2-M3</t>
  </si>
  <si>
    <t xml:space="preserve">Equipo capacitado en aseguramiento de la calidad</t>
  </si>
  <si>
    <t xml:space="preserve">Dos asesoras de calidad vinculadas y acompañamiento a los equipos de aseguramiento de la UMZ, la UDES y la UPN; capacitaciones en virtualización y planes de mejoramiento (2023); estructura documental al 85% (2025)</t>
  </si>
  <si>
    <t xml:space="preserve">Registro de capacitaciones del equipo de 2024 a 2026</t>
  </si>
  <si>
    <t xml:space="preserve">P2-A2-M4</t>
  </si>
  <si>
    <t xml:space="preserve">Autoevaluación de la Maestría en Primera Infancia</t>
  </si>
  <si>
    <t xml:space="preserve">Convenio mantenido (2024)
Autoevaluación de la Maestría en Primera Infancia, Educación y Desarrollo (MPIED)</t>
  </si>
  <si>
    <t xml:space="preserve">Cerrar la autoevaluación y renovar el registro; la MPIED no abre cohortes desde 2023</t>
  </si>
  <si>
    <t xml:space="preserve">P2-A3-M1</t>
  </si>
  <si>
    <t xml:space="preserve">Plan de marketing</t>
  </si>
  <si>
    <t xml:space="preserve">Plan de marketing, rebranding y manual de marca (2025); reuniones informativas y webinars por maestría; piloto de campaña digital del DCSNJ con 17 matrículas (2026)</t>
  </si>
  <si>
    <t xml:space="preserve">Extender el plan a la MDES, la MEDH y la MPIED</t>
  </si>
  <si>
    <t xml:space="preserve">P2-A3-M2</t>
  </si>
  <si>
    <t xml:space="preserve">Convenios para nuevas cohortes</t>
  </si>
  <si>
    <t xml:space="preserve">Profes a la U con la SED Bogotá (50 estudiantes del DCSNJ); Alcaldía de Sabaneta (13 en la MEDH); Fondo ICBF-ICETEX (37 en la MPIED); SED Medellín (37 ingresos en 2024 y 65 admitidos en la MEDH Sabaneta 2025-1); alianzas con la U. Luis Amigó y la SED Putumayo</t>
  </si>
  <si>
    <t xml:space="preserve">Maestría en Primera Infancia sin cohortes desde 2023
Conteo de convenios por año</t>
  </si>
  <si>
    <t xml:space="preserve">P2-A3-M3</t>
  </si>
  <si>
    <t xml:space="preserve">Cohortes semestrales en cada programa</t>
  </si>
  <si>
    <t xml:space="preserve">DCSNJ, MDES y MEDH Sabaneta con cohortes consecutivas en punto de equilibrio; cohorte del DCSNJ en Bogotá con 10 estudiantes (2026)</t>
  </si>
  <si>
    <t xml:space="preserve">MEDH Manizales sin punto de equilibrio; MPIED sin cohortes desde 2023; MEDH Sabaneta sin cohorte en 2022</t>
  </si>
  <si>
    <t xml:space="preserve">P2-A3-M4</t>
  </si>
  <si>
    <t xml:space="preserve">Estrategias de permanencia</t>
  </si>
  <si>
    <t xml:space="preserve">Fraccionamiento de matrícula, monitorías, homologaciones, tutorías y becas (una para el DCSNJ y dos para maestrías); política de incentivos en versión inicial completa (2025)</t>
  </si>
  <si>
    <t xml:space="preserve">Aprobar la política de incentivos</t>
  </si>
  <si>
    <t xml:space="preserve">P3-A1-M1</t>
  </si>
  <si>
    <t xml:space="preserve">Manual de comunicación interna aprobado</t>
  </si>
  <si>
    <t xml:space="preserve">Plan integral de comunicación (85%); ruta y formulario de solicitudes</t>
  </si>
  <si>
    <t xml:space="preserve">P3-A1-M2</t>
  </si>
  <si>
    <t xml:space="preserve">90% de colaboradores conoce y aplica el manual</t>
  </si>
  <si>
    <t xml:space="preserve">Capacitación en la ruta de solicitudes (2022)</t>
  </si>
  <si>
    <t xml:space="preserve">Medir la apropiación</t>
  </si>
  <si>
    <t xml:space="preserve">P3-A1-M3</t>
  </si>
  <si>
    <t xml:space="preserve">3 alianzas nacionales y 2 internacionales</t>
  </si>
  <si>
    <t xml:space="preserve">Alliance CPHA y U. Luis Amigó; renovaciones con UNLa y PUC São Paulo</t>
  </si>
  <si>
    <t xml:space="preserve">Formalizar renovaciones; alianzas con medios</t>
  </si>
  <si>
    <t xml:space="preserve">2.1</t>
  </si>
  <si>
    <t xml:space="preserve">P3-A1-M4</t>
  </si>
  <si>
    <t xml:space="preserve">1 formato de divulgación continuo</t>
  </si>
  <si>
    <t xml:space="preserve">Actualidad nacional (2022); piloto (2025); parrilla de contenidos (2026)</t>
  </si>
  <si>
    <t xml:space="preserve">Consolidarlo como serie</t>
  </si>
  <si>
    <t xml:space="preserve">P3-A1-M5</t>
  </si>
  <si>
    <t xml:space="preserve">1 plan de mercadeo anual</t>
  </si>
  <si>
    <t xml:space="preserve">Planes 2025 y 2026; 43% de leads calificados (meta 40%)</t>
  </si>
  <si>
    <t xml:space="preserve">Extenderlo a todos los programas</t>
  </si>
  <si>
    <t xml:space="preserve">P3-A1-M6</t>
  </si>
  <si>
    <t xml:space="preserve">Espacio permanente con egresados</t>
  </si>
  <si>
    <t xml:space="preserve">Base de datos de actores y expertos</t>
  </si>
  <si>
    <t xml:space="preserve">Espacio y grupo de egresados</t>
  </si>
  <si>
    <t xml:space="preserve">P3-A2-M1</t>
  </si>
  <si>
    <t xml:space="preserve">1 producto de divulgación al año con actores</t>
  </si>
  <si>
    <t xml:space="preserve">Libro Arte y Cartilla (2022), bíosala (2024), conversatorios (2025), coproducción (2026)</t>
  </si>
  <si>
    <t xml:space="preserve">Producto con actores en 2023</t>
  </si>
  <si>
    <t xml:space="preserve">P3-A2-M2</t>
  </si>
  <si>
    <t xml:space="preserve">1 feria anual de I+D</t>
  </si>
  <si>
    <t xml:space="preserve">Feria de Expedición Pacífica (2022); ferias externas (2025)</t>
  </si>
  <si>
    <t xml:space="preserve">Feria propia de CINDE</t>
  </si>
  <si>
    <t xml:space="preserve">P3-A2-M3</t>
  </si>
  <si>
    <t xml:space="preserve">Plan de capacitación y publicación con periodismo científico</t>
  </si>
  <si>
    <t xml:space="preserve">1 producto en producción; estrategia en construcción</t>
  </si>
  <si>
    <t xml:space="preserve">Plan, ciclos y productos periodísticos</t>
  </si>
  <si>
    <t xml:space="preserve">P3-A3-M1</t>
  </si>
  <si>
    <t xml:space="preserve">Periodicidad de Aletheia y la RLCSNJ</t>
  </si>
  <si>
    <t xml:space="preserve">RLCSNJ en CAPES A2; Aletheia en B</t>
  </si>
  <si>
    <t xml:space="preserve">Aletheia canceló un fascículo (2025)</t>
  </si>
  <si>
    <t xml:space="preserve">P3-A3-M2</t>
  </si>
  <si>
    <t xml:space="preserve">Política editorial implementada</t>
  </si>
  <si>
    <t xml:space="preserve">Primer avance (2022)</t>
  </si>
  <si>
    <t xml:space="preserve">Aprobación e implementación</t>
  </si>
  <si>
    <t xml:space="preserve">P3-A3-M3</t>
  </si>
  <si>
    <t xml:space="preserve">Plan anual de publicaciones</t>
  </si>
  <si>
    <t xml:space="preserve">Matriz 2026: 19 libros y cartillas y 45 policy briefs</t>
  </si>
  <si>
    <t xml:space="preserve">Plan formal todos los años</t>
  </si>
  <si>
    <t xml:space="preserve">P3-A3-M4</t>
  </si>
  <si>
    <t xml:space="preserve">1 convenio de coedición al año</t>
  </si>
  <si>
    <t xml:space="preserve">Siglo del Hombre; CLACSO y UMZ (2026)</t>
  </si>
  <si>
    <t xml:space="preserve">Coediciones de 2022 a 2024; firmar la de 2025</t>
  </si>
  <si>
    <t xml:space="preserve">P3-A3-M5</t>
  </si>
  <si>
    <t xml:space="preserve">Estrategia de circulación académica y científica</t>
  </si>
  <si>
    <t xml:space="preserve">Producción 2020-2025 sistematizada; 22 publicaciones en depósito legal</t>
  </si>
  <si>
    <t xml:space="preserve">Documento de estrategia y catálogo</t>
  </si>
  <si>
    <t xml:space="preserve">P3-A3-M6</t>
  </si>
  <si>
    <t xml:space="preserve">Centros de recursos y espacio de egresados</t>
  </si>
  <si>
    <t xml:space="preserve">Repositorio rediseñado; 4.635 descargas</t>
  </si>
  <si>
    <t xml:space="preserve">Espacio de egresados</t>
  </si>
  <si>
    <t xml:space="preserve">P3-A4-M1</t>
  </si>
  <si>
    <t xml:space="preserve">+3% de participación en redes</t>
  </si>
  <si>
    <t xml:space="preserve">27 redes (2022); 29 identificadas (2025)</t>
  </si>
  <si>
    <t xml:space="preserve">Medir el incremento; vincular estudiantes y egresados</t>
  </si>
  <si>
    <t xml:space="preserve">P3-A4-M2</t>
  </si>
  <si>
    <t xml:space="preserve">+20% de participación en redes de Europa y Norteamérica</t>
  </si>
  <si>
    <t xml:space="preserve">U. de Valencia en RedINJU; Horizonte Europa, Swansea y U. Colorado</t>
  </si>
  <si>
    <t xml:space="preserve">Formalizar redes</t>
  </si>
  <si>
    <t xml:space="preserve">P3-A4-M3</t>
  </si>
  <si>
    <t xml:space="preserve">Producción de las redes en el repositorio</t>
  </si>
  <si>
    <t xml:space="preserve">Memorias de la Bienal; coedición con CLACSO</t>
  </si>
  <si>
    <t xml:space="preserve">Cargarla al repositorio</t>
  </si>
  <si>
    <t xml:space="preserve">P3-A4-M4</t>
  </si>
  <si>
    <t xml:space="preserve">Alianzas en contrapartida para eventos</t>
  </si>
  <si>
    <t xml:space="preserve">Escuela Internacional, V Bienal y Conferencia CLACSO</t>
  </si>
  <si>
    <t xml:space="preserve">Alianzas permanentes</t>
  </si>
  <si>
    <t xml:space="preserve">P3-A4-M5</t>
  </si>
  <si>
    <t xml:space="preserve">Eventos con protocolos construidos</t>
  </si>
  <si>
    <t xml:space="preserve">Protocolo preliminar (2025)</t>
  </si>
  <si>
    <t xml:space="preserve">Aprobarlo y aplicarlo</t>
  </si>
  <si>
    <t xml:space="preserve">P3-A4-M6</t>
  </si>
  <si>
    <t xml:space="preserve">1 convenio anual de circulación</t>
  </si>
  <si>
    <t xml:space="preserve">Borrador (2025)</t>
  </si>
  <si>
    <t xml:space="preserve">Firmar el convenio</t>
  </si>
  <si>
    <t xml:space="preserve">P3-A4-M7</t>
  </si>
  <si>
    <t xml:space="preserve">Redes de movilización social e incidencia</t>
  </si>
  <si>
    <t xml:space="preserve">CODIA, Alianza por la Niñez y NiñezYA; 37 de 65 actores activos</t>
  </si>
  <si>
    <t xml:space="preserve">Plan de vocerías</t>
  </si>
  <si>
    <t xml:space="preserve">P3-N-M1</t>
  </si>
  <si>
    <t xml:space="preserve">Fuera del plan</t>
  </si>
  <si>
    <t xml:space="preserve">2 capacitaciones (2025)</t>
  </si>
  <si>
    <t xml:space="preserve">Reportadas como ejecutadas</t>
  </si>
  <si>
    <t xml:space="preserve">Soporte</t>
  </si>
  <si>
    <t xml:space="preserve">P3-N-M2</t>
  </si>
  <si>
    <t xml:space="preserve">1 publicación con lenguajes diversos (2025)</t>
  </si>
  <si>
    <t xml:space="preserve">En elaboración</t>
  </si>
  <si>
    <t xml:space="preserve">Terminarla</t>
  </si>
  <si>
    <t xml:space="preserve">P3-N-M3</t>
  </si>
  <si>
    <t xml:space="preserve">Vincular 1 red de gestores editoriales (2025)</t>
  </si>
  <si>
    <t xml:space="preserve">MBIES y Comité de Editoriales Universitarias de Antioquia</t>
  </si>
  <si>
    <t xml:space="preserve">P4-A1-M1</t>
  </si>
  <si>
    <t xml:space="preserve">Sistema de información institucional</t>
  </si>
  <si>
    <t xml:space="preserve">SII con módulos de I+D, formación, certificaciones, proveedores y laboral</t>
  </si>
  <si>
    <t xml:space="preserve">P4-A1-M2</t>
  </si>
  <si>
    <t xml:space="preserve">Herramientas de análisis, mapeo y costeo</t>
  </si>
  <si>
    <t xml:space="preserve">Mapeo de convocatorias en uso</t>
  </si>
  <si>
    <t xml:space="preserve">Costeo de proyectos</t>
  </si>
  <si>
    <t xml:space="preserve">P4-A1-M3</t>
  </si>
  <si>
    <t xml:space="preserve">Espacio interno de documentación</t>
  </si>
  <si>
    <t xml:space="preserve">50% de procesos, procedimientos y políticas documentados</t>
  </si>
  <si>
    <t xml:space="preserve">Documentar manuales y procedimientos</t>
  </si>
  <si>
    <t xml:space="preserve">P4-A1-M4</t>
  </si>
  <si>
    <t xml:space="preserve">Uso y apropiación de herramientas corporativas</t>
  </si>
  <si>
    <t xml:space="preserve">Plan de formación al 70%</t>
  </si>
  <si>
    <t xml:space="preserve">Cerrar el plan de formación</t>
  </si>
  <si>
    <t xml:space="preserve">P4-A2-M1</t>
  </si>
  <si>
    <t xml:space="preserve">Actualización secuencial del parque tecnológico</t>
  </si>
  <si>
    <t xml:space="preserve">Internet de 200 a 900 MB, VPS, 12 equipos y migración de servidores</t>
  </si>
  <si>
    <t xml:space="preserve">Ruta formal; red y seguridad; equipos de colaboradores</t>
  </si>
  <si>
    <t xml:space="preserve">P4-A2-M2</t>
  </si>
  <si>
    <t xml:space="preserve">Cumplir el licenciamiento</t>
  </si>
  <si>
    <t xml:space="preserve">Licenciamiento certificado y renovado</t>
  </si>
  <si>
    <t xml:space="preserve">Office para inicio de 2027</t>
  </si>
  <si>
    <t xml:space="preserve">P4-A2-M3</t>
  </si>
  <si>
    <t xml:space="preserve">Soporte a los campos</t>
  </si>
  <si>
    <t xml:space="preserve">Mesa de ayuda, seminarios y eventos</t>
  </si>
  <si>
    <t xml:space="preserve">Calidad de los servicios</t>
  </si>
  <si>
    <t xml:space="preserve">P4-A3-M1</t>
  </si>
  <si>
    <t xml:space="preserve">Plataforma funcional y accesible</t>
  </si>
  <si>
    <t xml:space="preserve">Ékora lanzada (2024); 10 productos activos; 80% de funcionalidad (2025)</t>
  </si>
  <si>
    <t xml:space="preserve">Suspendida desde septiembre de 2025; sin medición de accesibilidad ni satisfacción</t>
  </si>
  <si>
    <t xml:space="preserve">P4-A4-M1</t>
  </si>
  <si>
    <t xml:space="preserve">Actores capacitados a través de la plataforma</t>
  </si>
  <si>
    <t xml:space="preserve">Cursos y diplomados ofrecidos</t>
  </si>
  <si>
    <t xml:space="preserve">Conteo de capacitados</t>
  </si>
  <si>
    <t xml:space="preserve">P4-A4-M2</t>
  </si>
  <si>
    <t xml:space="preserve">Contenidos actualizados y organizados</t>
  </si>
  <si>
    <t xml:space="preserve">10 productos en Ékora</t>
  </si>
  <si>
    <t xml:space="preserve">Modelo estandarizado de contenidos</t>
  </si>
  <si>
    <t xml:space="preserve">P4-A4-M3</t>
  </si>
  <si>
    <t xml:space="preserve">Material didáctico digital de calidad</t>
  </si>
  <si>
    <t xml:space="preserve">Módulos de Convidarte, bíosala y MOOC</t>
  </si>
  <si>
    <t xml:space="preserve">Criterios de calidad</t>
  </si>
  <si>
    <t xml:space="preserve">P4-A4-M4</t>
  </si>
  <si>
    <t xml:space="preserve">Informe de evaluación de la estrategia digital</t>
  </si>
  <si>
    <t xml:space="preserve">Elaborar el informe</t>
  </si>
  <si>
    <t xml:space="preserve">P4-A5-M1</t>
  </si>
  <si>
    <t xml:space="preserve">5 proyectos digitales innovadores</t>
  </si>
  <si>
    <t xml:space="preserve">Bíosala y virtualización de Convidarte cerrados; chatbot y estructurador en piloto</t>
  </si>
  <si>
    <t xml:space="preserve">Laboratorio de realidad virtual; cerrar los pilotos</t>
  </si>
  <si>
    <t xml:space="preserve">P4-A5-M2</t>
  </si>
  <si>
    <t xml:space="preserve">5 metodologías identificadas y adaptadas</t>
  </si>
  <si>
    <t xml:space="preserve">Adaptación indirecta de Convidarte y Constructores</t>
  </si>
  <si>
    <t xml:space="preserve">Identificación formal</t>
  </si>
  <si>
    <t xml:space="preserve">P4-A5-M3</t>
  </si>
  <si>
    <t xml:space="preserve">Atracción de investigadores en formación</t>
  </si>
  <si>
    <t xml:space="preserve">Cursos de Ékora como créditos de movilidad*</t>
  </si>
  <si>
    <t xml:space="preserve">Modelo de atracción</t>
  </si>
  <si>
    <t xml:space="preserve">P4-A6-M1</t>
  </si>
  <si>
    <t xml:space="preserve">10 alianzas estratégicas internacionales</t>
  </si>
  <si>
    <t xml:space="preserve">Alianzas propias de Ékora</t>
  </si>
  <si>
    <t xml:space="preserve">P4-A6-M2</t>
  </si>
  <si>
    <t xml:space="preserve">3 cursos digitales con enfoque internacional</t>
  </si>
  <si>
    <t xml:space="preserve">Diplomado con el Festival de Poesía (meta del P2)</t>
  </si>
  <si>
    <t xml:space="preserve">3 cursos de Ékora</t>
  </si>
  <si>
    <t xml:space="preserve">P4-A6-M3</t>
  </si>
  <si>
    <t xml:space="preserve">Mayor alcance y reconocimiento internacional</t>
  </si>
  <si>
    <t xml:space="preserve">Sin datos de Ékora</t>
  </si>
  <si>
    <t xml:space="preserve">Promoción internacional</t>
  </si>
  <si>
    <t xml:space="preserve">P4-N-M1</t>
  </si>
  <si>
    <t xml:space="preserve">Ventas de $30 a $50 millones mensuales (2025)</t>
  </si>
  <si>
    <t xml:space="preserve">Ventas sin continuidad por la suspensión</t>
  </si>
  <si>
    <t xml:space="preserve">3.2</t>
  </si>
  <si>
    <t xml:space="preserve">P5-A1-M1</t>
  </si>
  <si>
    <t xml:space="preserve">Lineamientos de calidad con sistema de información</t>
  </si>
  <si>
    <t xml:space="preserve">Documento finalizado (2025); estructura documental</t>
  </si>
  <si>
    <t xml:space="preserve">Aprobación y socialización</t>
  </si>
  <si>
    <t xml:space="preserve">P5-A1-M2</t>
  </si>
  <si>
    <t xml:space="preserve">Informe de autoevaluación actualizado a 2026</t>
  </si>
  <si>
    <t xml:space="preserve">Reconocimiento renovado (2023); informe del plan de mejora (2026)</t>
  </si>
  <si>
    <t xml:space="preserve">Informe 2026 (35%)</t>
  </si>
  <si>
    <t xml:space="preserve">P5-A1-M3</t>
  </si>
  <si>
    <t xml:space="preserve">Plan de comunicación de impactos y aprendizajes</t>
  </si>
  <si>
    <t xml:space="preserve">Capítulos y libros sobre impactos</t>
  </si>
  <si>
    <t xml:space="preserve">Formular el plan</t>
  </si>
  <si>
    <t xml:space="preserve">P5-A2-M1</t>
  </si>
  <si>
    <t xml:space="preserve">Posicionamiento internacional</t>
  </si>
  <si>
    <t xml:space="preserve">V Bienal en 26 países; 8 convenios; PIASE y Botnar; propuestas a Horizonte Europa</t>
  </si>
  <si>
    <t xml:space="preserve">Adjudicaciones internacionales de 2026</t>
  </si>
  <si>
    <t xml:space="preserve">P5-A2-M2</t>
  </si>
  <si>
    <t xml:space="preserve">60% de proyectos propios o en alianza posicionados</t>
  </si>
  <si>
    <t xml:space="preserve">Regalías ganado; 24% de aprobación (meta 20%)</t>
  </si>
  <si>
    <t xml:space="preserve">Medir el 60%; adjudicación en 0%</t>
  </si>
  <si>
    <t xml:space="preserve">P5-A3-M1</t>
  </si>
  <si>
    <t xml:space="preserve">100% de proyectos vigentes evaluados o finalizados</t>
  </si>
  <si>
    <t xml:space="preserve">Publicar el libro de sistematización</t>
  </si>
  <si>
    <t xml:space="preserve">P5-A3-M2</t>
  </si>
  <si>
    <t xml:space="preserve">5 proyectos nuevos a gran escala con financiamiento externo</t>
  </si>
  <si>
    <t xml:space="preserve">Regalías con la UMZ; Territorios del Cuidado con CLACSO</t>
  </si>
  <si>
    <t xml:space="preserve">3 proyectos más</t>
  </si>
  <si>
    <t xml:space="preserve">P5-A3-M3</t>
  </si>
  <si>
    <t xml:space="preserve">Evaluación de impactos de programas y proyectos</t>
  </si>
  <si>
    <t xml:space="preserve">Capítulos y libros sobre impactos; sistematización del CEANJ</t>
  </si>
  <si>
    <t xml:space="preserve">Evaluación formal</t>
  </si>
  <si>
    <t xml:space="preserve">P5-A4-M1</t>
  </si>
  <si>
    <t xml:space="preserve">Al menos 1 CEA temático o en alianza</t>
  </si>
  <si>
    <t xml:space="preserve">Convenios con la U. Luis Amigó y la F. CORPAS; 3 propuestas con aval de la Junta; acuerdo de 2026*</t>
  </si>
  <si>
    <t xml:space="preserve">Ningún CEA creado; convenios específicos sin firmar</t>
  </si>
  <si>
    <t xml:space="preserve">P5-A5-M1</t>
  </si>
  <si>
    <t xml:space="preserve">100% de aplicación de la metodología MEGA</t>
  </si>
  <si>
    <t xml:space="preserve">Nueva estructura; manual de procesos 2025*; arquitectura al 40%</t>
  </si>
  <si>
    <t xml:space="preserve">Completar la arquitectura de procesos</t>
  </si>
  <si>
    <t xml:space="preserve">P5-A5-M2</t>
  </si>
  <si>
    <t xml:space="preserve">Percepción de los grupos de interés</t>
  </si>
  <si>
    <t xml:space="preserve">97% de aprobación y 90% perciben mejoras (2024)</t>
  </si>
  <si>
    <t xml:space="preserve">Medir otros grupos de interés</t>
  </si>
  <si>
    <t xml:space="preserve">P5-A5-M3</t>
  </si>
  <si>
    <t xml:space="preserve">Incidencia en la sostenibilidad</t>
  </si>
  <si>
    <t xml:space="preserve">Sin medición</t>
  </si>
  <si>
    <t xml:space="preserve">Medirla</t>
  </si>
  <si>
    <t xml:space="preserve">P5-A6-M1</t>
  </si>
  <si>
    <t xml:space="preserve">Portafolio físico y digital</t>
  </si>
  <si>
    <t xml:space="preserve">Portafolios por actor y video</t>
  </si>
  <si>
    <t xml:space="preserve">P5-A6-M2</t>
  </si>
  <si>
    <t xml:space="preserve">Documento de estrategia de posicionamiento y sostenibilidad</t>
  </si>
  <si>
    <t xml:space="preserve">Plan integral de comunicación; agenda internacional</t>
  </si>
  <si>
    <t xml:space="preserve">Documento único aprobado</t>
  </si>
  <si>
    <t xml:space="preserve">P5-A7-M1</t>
  </si>
  <si>
    <t xml:space="preserve">50% de ingresos por alianzas</t>
  </si>
  <si>
    <t xml:space="preserve">57% de proyectos en 2023 (alianzas y convocatorias juntas)</t>
  </si>
  <si>
    <t xml:space="preserve">Separar alianzas de convocatorias</t>
  </si>
  <si>
    <t xml:space="preserve">P5-A7-M2</t>
  </si>
  <si>
    <t xml:space="preserve">40% de ingresos de oferta propia</t>
  </si>
  <si>
    <t xml:space="preserve">43% (2023); más del 85% (2025)*</t>
  </si>
  <si>
    <t xml:space="preserve">Equilibrar las fuentes</t>
  </si>
  <si>
    <t xml:space="preserve">P5-A7-M3</t>
  </si>
  <si>
    <t xml:space="preserve">10% de ingresos por convocatorias</t>
  </si>
  <si>
    <t xml:space="preserve">Sin desagregar</t>
  </si>
  <si>
    <t xml:space="preserve">Medirlo</t>
  </si>
  <si>
    <t xml:space="preserve">P5-N-M1</t>
  </si>
  <si>
    <t xml:space="preserve">3 espacios de capacitación (2025)</t>
  </si>
  <si>
    <t xml:space="preserve">Capacidades en formulación de propuestas</t>
  </si>
  <si>
    <t xml:space="preserve">Soporte de los 3 espacios</t>
  </si>
  <si>
    <t xml:space="preserve">P5-N-M2</t>
  </si>
  <si>
    <t xml:space="preserve">Sistema de planeación institucional (2026)</t>
  </si>
  <si>
    <t xml:space="preserve">Autoevaluación, planeación e indicadores 2026</t>
  </si>
  <si>
    <t xml:space="preserve">Sin seguimiento desde el Q1</t>
  </si>
  <si>
    <t xml:space="preserve">P5-N-M3</t>
  </si>
  <si>
    <t xml:space="preserve">Portafolio de proyectos alineado (2026)</t>
  </si>
  <si>
    <t xml:space="preserve">En planeación</t>
  </si>
  <si>
    <t xml:space="preserve">Análisis de la oferta propia</t>
  </si>
  <si>
    <t xml:space="preserve">P6-A1-M1</t>
  </si>
  <si>
    <t xml:space="preserve">1 taller nacional al año</t>
  </si>
  <si>
    <t xml:space="preserve">Encuentros nacionales en 2022</t>
  </si>
  <si>
    <t xml:space="preserve">Sin taller nacional 2023 al 2026</t>
  </si>
  <si>
    <t xml:space="preserve">P6-A1-M2</t>
  </si>
  <si>
    <t xml:space="preserve">2 talleres de indagación apreciativa al año</t>
  </si>
  <si>
    <t xml:space="preserve">10 talleres (2022-2026)</t>
  </si>
  <si>
    <t xml:space="preserve">P6-A1-M3</t>
  </si>
  <si>
    <t xml:space="preserve">Política de reconocimiento e incentivos</t>
  </si>
  <si>
    <t xml:space="preserve">Documentos de beneficios 100% (2025)</t>
  </si>
  <si>
    <t xml:space="preserve">Socializarlo</t>
  </si>
  <si>
    <t xml:space="preserve">P6-A2-M1</t>
  </si>
  <si>
    <t xml:space="preserve">Comités de Convivencia y COPASST consolidados</t>
  </si>
  <si>
    <t xml:space="preserve">Elegidos en 2025 y en funcionamiento</t>
  </si>
  <si>
    <t xml:space="preserve">P6-A2-M2</t>
  </si>
  <si>
    <t xml:space="preserve">Capacitación pertinente a los comités</t>
  </si>
  <si>
    <t xml:space="preserve">Capacitaciones generales con la ARL</t>
  </si>
  <si>
    <t xml:space="preserve">Capacitación específica a los comités</t>
  </si>
  <si>
    <t xml:space="preserve">P6-A2-M3</t>
  </si>
  <si>
    <t xml:space="preserve">Cronograma de actividades del SG-SST</t>
  </si>
  <si>
    <t xml:space="preserve">Plan anual con la ARL en 2025 y 2026</t>
  </si>
  <si>
    <t xml:space="preserve">Cerrar el plan 2026</t>
  </si>
  <si>
    <t xml:space="preserve">P6-A2-M4</t>
  </si>
  <si>
    <t xml:space="preserve">Documentación y seguimiento del SG-SST</t>
  </si>
  <si>
    <t xml:space="preserve">Estándares mínimos al 86%; políticas de desconexión, acoso y seguridad vial</t>
  </si>
  <si>
    <t xml:space="preserve">Análisis de puestos al 40%</t>
  </si>
  <si>
    <t xml:space="preserve">P6-A3-M1</t>
  </si>
  <si>
    <t xml:space="preserve">100% de perfiles, funciones y roles actualizados</t>
  </si>
  <si>
    <t xml:space="preserve">Modelo por competencias; manual de funciones al 100%</t>
  </si>
  <si>
    <t xml:space="preserve">Socializar el manual y el modelo</t>
  </si>
  <si>
    <t xml:space="preserve">P6-A3-M2</t>
  </si>
  <si>
    <t xml:space="preserve">100% de colaboradores con plan de carrera</t>
  </si>
  <si>
    <t xml:space="preserve">Diseñar el plan de carrera</t>
  </si>
  <si>
    <t xml:space="preserve">P6-A4-M1</t>
  </si>
  <si>
    <t xml:space="preserve">Política de contratación actualizada</t>
  </si>
  <si>
    <t xml:space="preserve">Proceso de selección al 100%; onboarding; 7 de 8 superan el periodo de prueba</t>
  </si>
  <si>
    <t xml:space="preserve">Cerrar trimestre Q4 2026</t>
  </si>
  <si>
    <t xml:space="preserve">P6-A5-M1</t>
  </si>
  <si>
    <t xml:space="preserve">Nivelación salarial del 100%</t>
  </si>
  <si>
    <t xml:space="preserve">Nivelación por roles (2025); 100% de cargos con estructura salarial (2026)</t>
  </si>
  <si>
    <t xml:space="preserve">Falta realizar estudio de mercado</t>
  </si>
  <si>
    <t xml:space="preserve">P6-A6-M1</t>
  </si>
  <si>
    <t xml:space="preserve">Análisis jurídico, fiscal y contable de viabilidad</t>
  </si>
  <si>
    <t xml:space="preserve">Avalúos 2021; concepto de revisaría fiscal; Diagnostico de las casas</t>
  </si>
  <si>
    <t xml:space="preserve">Modelo aprobado con analisis jurídico</t>
  </si>
  <si>
    <t xml:space="preserve">P6-A6-M3</t>
  </si>
  <si>
    <t xml:space="preserve">CINDE ejecutor del canon, con seguros</t>
  </si>
  <si>
    <t xml:space="preserve">Contratos de uso con 2 entidades en Sabaneta</t>
  </si>
  <si>
    <t xml:space="preserve">Falta implementar estrategia</t>
  </si>
  <si>
    <t xml:space="preserve">P6-N-M1</t>
  </si>
  <si>
    <t xml:space="preserve">95% de nóminas y afiliaciones correctas (2026)</t>
  </si>
  <si>
    <t xml:space="preserve">Análisis del cierre del plan 2022-2026</t>
  </si>
  <si>
    <t xml:space="preserve">Todo se calcula con fórmulas a partir de las hojas Programas, Acciones y Metas. No edite esta hoja: cambie los datos en Metas y aquí se actualiza solo.</t>
  </si>
  <si>
    <t xml:space="preserve">1. Avance y estado de las acciones por programa</t>
  </si>
  <si>
    <t xml:space="preserve">Programa</t>
  </si>
  <si>
    <t xml:space="preserve">Avance</t>
  </si>
  <si>
    <t xml:space="preserve">Pendiente</t>
  </si>
  <si>
    <t xml:space="preserve">clave de orden</t>
  </si>
  <si>
    <t xml:space="preserve">Plan (P1 a P6)</t>
  </si>
  <si>
    <t xml:space="preserve">2. Ranking de programas: quién logró más</t>
  </si>
  <si>
    <t xml:space="preserve">Puesto</t>
  </si>
  <si>
    <t xml:space="preserve">3. Metas del plan por nivel de cumplimiento</t>
  </si>
  <si>
    <t xml:space="preserve">Logradas (90% o más)</t>
  </si>
  <si>
    <t xml:space="preserve">Avance alto (70% a 89%)</t>
  </si>
  <si>
    <t xml:space="preserve">Avance medio (40% a 69%)</t>
  </si>
  <si>
    <t xml:space="preserve">Avance bajo (menos de 40%)</t>
  </si>
  <si>
    <t xml:space="preserve">Total de metas</t>
  </si>
  <si>
    <t xml:space="preserve">4. Avance de las metas priorizadas frente a las no priorizadas</t>
  </si>
  <si>
    <t xml:space="preserve">Metas priorizadas</t>
  </si>
  <si>
    <t xml:space="preserve">Metas no priorizadas</t>
  </si>
  <si>
    <t xml:space="preserve">Promedio simple del porcentaje de las metas de cada tipo. Un 0% indica que el programa no tiene metas de ese tipo.</t>
  </si>
  <si>
    <t xml:space="preserve">5. Avance por acción del plan, de mayor a menor</t>
  </si>
  <si>
    <t xml:space="preserve">Acción</t>
  </si>
  <si>
    <t xml:space="preserve">Estado</t>
  </si>
  <si>
    <t xml:space="preserve">clave</t>
  </si>
  <si>
    <t xml:space="preserve">Acciones (apoyo)</t>
  </si>
  <si>
    <t xml:space="preserve">6. Lo logrado y lo pendiente por programa</t>
  </si>
  <si>
    <t xml:space="preserve">Lo que se logró</t>
  </si>
  <si>
    <t xml:space="preserve">Lo que quedó pendiente</t>
  </si>
  <si>
    <t xml:space="preserve">categoria_id</t>
  </si>
  <si>
    <t xml:space="preserve">dimension</t>
  </si>
  <si>
    <t xml:space="preserve">criterio</t>
  </si>
  <si>
    <t xml:space="preserve">que_evalua</t>
  </si>
  <si>
    <t xml:space="preserve">orden</t>
  </si>
  <si>
    <t xml:space="preserve">1.1</t>
  </si>
  <si>
    <t xml:space="preserve">1. Estrategia</t>
  </si>
  <si>
    <t xml:space="preserve">1.1 Misión</t>
  </si>
  <si>
    <t xml:space="preserve">Alineación de la misión con el objeto social y con las actividades de I+D. Se responde con la misión vigente; ninguna meta del plan la mide.</t>
  </si>
  <si>
    <t xml:space="preserve">1.2 Planificación estratégica</t>
  </si>
  <si>
    <t xml:space="preserve">Plan con objetivos y metas medibles, cuadro de mando, revisión anual, apropiación del plan y procedimientos documentados.</t>
  </si>
  <si>
    <t xml:space="preserve">2. Interrelación</t>
  </si>
  <si>
    <t xml:space="preserve">2.1 Relaciones con el medio</t>
  </si>
  <si>
    <t xml:space="preserve">Convenios con actores del SNCTI, proyectos conjuntos, estrategia de nuevas alianzas y número de alianzas al año.</t>
  </si>
  <si>
    <t xml:space="preserve">3. Recursos</t>
  </si>
  <si>
    <t xml:space="preserve">3.1 Recurso humano</t>
  </si>
  <si>
    <t xml:space="preserve">Personal científico, formación, reconocimiento como investigadores, vinculación documentada y formación continua.</t>
  </si>
  <si>
    <t xml:space="preserve">3.2 Recurso financiero</t>
  </si>
  <si>
    <t xml:space="preserve">Presupuesto por fases, recursos externos para I+D y captación de recursos públicos y privados.</t>
  </si>
  <si>
    <t xml:space="preserve">3.3 Infraestructura</t>
  </si>
  <si>
    <t xml:space="preserve">Equipos, inversión en tecnologías de la información, plan tecnológico, software y bases de datos adecuados.</t>
  </si>
  <si>
    <t xml:space="preserve">4. Resultados</t>
  </si>
  <si>
    <t xml:space="preserve">4.1 Productos y proyectos de I+D: nuevo conocimiento y desarrollo</t>
  </si>
  <si>
    <t xml:space="preserve">Productos de nuevo conocimiento, proyectos de I+D, continuidad de las líneas y resultados conjuntos con otros actores.</t>
  </si>
  <si>
    <t xml:space="preserve">4.1 Productos y proyectos de I+D: apropiación social del conocimiento</t>
  </si>
  <si>
    <t xml:space="preserve">Productos de apropiación social, divulgación de resultados y participación de comunidades y actores.</t>
  </si>
  <si>
    <t xml:space="preserve">4.1 Productos y proyectos de I+D: formación de investigadores</t>
  </si>
  <si>
    <t xml:space="preserve">Formación de investigadores para CTeI: programas de formación avanzada, semilleros y jóvenes investigadores.</t>
  </si>
  <si>
    <t xml:space="preserve">logro_id</t>
  </si>
  <si>
    <t xml:space="preserve">anio</t>
  </si>
  <si>
    <t xml:space="preserve">logro</t>
  </si>
  <si>
    <t xml:space="preserve">fuente</t>
  </si>
  <si>
    <t xml:space="preserve">L01</t>
  </si>
  <si>
    <t xml:space="preserve">Reconocimiento a la investigadora Johanna Patiño en la convocatoria 635 Orquídeas de Minciencias: 1.er puesto en Caldas y 3.er puesto nacional</t>
  </si>
  <si>
    <t xml:space="preserve">I23 p. 4</t>
  </si>
  <si>
    <t xml:space="preserve">L02</t>
  </si>
  <si>
    <t xml:space="preserve">Dos de cuatro propuestas seleccionadas en la convocatoria 948 Orquídeas: Mujeres en la Ciencia</t>
  </si>
  <si>
    <t xml:space="preserve">I24 d. 8</t>
  </si>
  <si>
    <t xml:space="preserve">L03</t>
  </si>
  <si>
    <t xml:space="preserve">Planta de 76 colaboradores en nómina y 111 personas en todas las modalidades de contrato</t>
  </si>
  <si>
    <t xml:space="preserve">I23 p. 22</t>
  </si>
  <si>
    <t xml:space="preserve">L04</t>
  </si>
  <si>
    <t xml:space="preserve">Presupuesto de ingresos de $9.328 millones, con 75% facturado a octubre ($7.032 millones) y ejecución presupuestal a mes vencido</t>
  </si>
  <si>
    <t xml:space="preserve">I23 pp. 24-25</t>
  </si>
  <si>
    <t xml:space="preserve">L05</t>
  </si>
  <si>
    <t xml:space="preserve">Seguimiento financiero al 85% de los 30 programas y 99% de las obligaciones tributarias cumplidas a tiempo</t>
  </si>
  <si>
    <t xml:space="preserve">I23 p. 25</t>
  </si>
  <si>
    <t xml:space="preserve">L06</t>
  </si>
  <si>
    <t xml:space="preserve">Publicaciones con resultados de proyectos en revistas indexadas: Academia de Ciencias de Nueva York (A1), RLCSNJ (B), Aletheia (B), Revista de Ciencias Sociales de la U. de Costa Rica (B) e Interdisciplinaria</t>
  </si>
  <si>
    <t xml:space="preserve">L07</t>
  </si>
  <si>
    <t xml:space="preserve">Participación en eventos académicos nacionales e internacionales: V Bienal LAyC, Bienal internacional de educación y cultura de paz, pasantías de Escuela Activa Urbana en Chile y España, y congresos en España y Grecia</t>
  </si>
  <si>
    <t xml:space="preserve">I23 p. 5</t>
  </si>
  <si>
    <t xml:space="preserve">L08</t>
  </si>
  <si>
    <t xml:space="preserve">Participación en 87 eventos nacionales e internacionales</t>
  </si>
  <si>
    <t xml:space="preserve">I24 d. 15</t>
  </si>
  <si>
    <t xml:space="preserve">L09</t>
  </si>
  <si>
    <t xml:space="preserve">Nuevo sitio web con 14.107 visitas orgánicas de cerca de 60 países; 55 emisiones en YouTube con 7.041 reproducciones</t>
  </si>
  <si>
    <t xml:space="preserve">I23 pp. 9-10</t>
  </si>
  <si>
    <t xml:space="preserve">L10</t>
  </si>
  <si>
    <t xml:space="preserve">40.849 visitas al sitio web y 308.000 interacciones en los canales de divulgación</t>
  </si>
  <si>
    <t xml:space="preserve">L11</t>
  </si>
  <si>
    <t xml:space="preserve">845 personas recibieron publicaciones de CINDE y la UMZ en lanzamientos y eventos</t>
  </si>
  <si>
    <t xml:space="preserve">I23 p. 11</t>
  </si>
  <si>
    <t xml:space="preserve">L12</t>
  </si>
  <si>
    <t xml:space="preserve">Maestría en Primera Infancia: 6 graduados de la cohorte 1; sus estudiantes ganaron el premio a experiencias inspiradoras y viajaron a Finlandia y Reggio Emilia</t>
  </si>
  <si>
    <t xml:space="preserve">I23 p. 7</t>
  </si>
  <si>
    <t xml:space="preserve">L13</t>
  </si>
  <si>
    <t xml:space="preserve">357 estudiantes matriculados, 117 graduados y 11 cohortes activas en formación avanzada</t>
  </si>
  <si>
    <t xml:space="preserve">I24 d. 12</t>
  </si>
  <si>
    <t xml:space="preserve">pregunta_id</t>
  </si>
  <si>
    <t xml:space="preserve">pregunta</t>
  </si>
  <si>
    <t xml:space="preserve">respuesta</t>
  </si>
  <si>
    <t xml:space="preserve">evidencia</t>
  </si>
  <si>
    <t xml:space="preserve">metas_relacionadas</t>
  </si>
  <si>
    <t xml:space="preserve">responsable</t>
  </si>
  <si>
    <t xml:space="preserve">respuesta_area</t>
  </si>
  <si>
    <t xml:space="preserve">1.1-1</t>
  </si>
  <si>
    <t xml:space="preserve">¿La misión se alinea con el objeto social?</t>
  </si>
  <si>
    <t xml:space="preserve">No revisamos los estatutos ni el objeto social registrado, así que no hay con qué compararla.</t>
  </si>
  <si>
    <t xml:space="preserve">Dirección</t>
  </si>
  <si>
    <t xml:space="preserve">1.1-2</t>
  </si>
  <si>
    <t xml:space="preserve">¿Existe coherencia entre la misión y las actividades de I+D?</t>
  </si>
  <si>
    <t xml:space="preserve">Las actividades de I+D se centran en niñez y juventud, como la misión: 4 grupos de investigación (3 en A1 o A), 6 líneas activas y proyectos con comunidades como Expedición Pacífica y Territorios del Buen Vivir.</t>
  </si>
  <si>
    <t xml:space="preserve">P1-A1-M1, P1-A1-M2, P1-A2-M3</t>
  </si>
  <si>
    <t xml:space="preserve">1.2-1</t>
  </si>
  <si>
    <t xml:space="preserve">¿Existe un plan estratégico para incorporar nuevos conocimientos, nuevas tecnologías, al desarrollo de nuevos productos o servicios?</t>
  </si>
  <si>
    <t xml:space="preserve">El plan estratégico 2022-2026 tiene 7 programas, entre ellos Transformación digital (P4) y la co-creación de oferta propia (P1-A2).</t>
  </si>
  <si>
    <t xml:space="preserve">P4-A1 a P4-A6, P1-A2</t>
  </si>
  <si>
    <t xml:space="preserve">1.2-2</t>
  </si>
  <si>
    <t xml:space="preserve">¿Los objetivos son claramente definidos y viables?</t>
  </si>
  <si>
    <t xml:space="preserve">Los objetivos están definidos en 29 acciones y 98 metas. La viabilidad fue parcial: el plan cierra en 58% y 17 de 98 metas están logradas.</t>
  </si>
  <si>
    <t xml:space="preserve">Todo el plan</t>
  </si>
  <si>
    <t xml:space="preserve">1.2-3</t>
  </si>
  <si>
    <t xml:space="preserve">¿Se cuenta con un cuadro de mando integral que permita hacer seguimiento a la implementación de las estrategias y objetivos de I+D+i definidos?</t>
  </si>
  <si>
    <t xml:space="preserve">Las planeaciones 2025 y 2026 tienen indicadores con seguimiento trimestral, y en 2026 se construyó el sistema de indicadores institucional.</t>
  </si>
  <si>
    <t xml:space="preserve">P5-N-M2, P5-A1</t>
  </si>
  <si>
    <t xml:space="preserve">1.2-4</t>
  </si>
  <si>
    <t xml:space="preserve">¿Existe una estrategia definida para afrontar los retos de I+D?</t>
  </si>
  <si>
    <t xml:space="preserve">El Programa 1 del plan define tres acciones para I+D (grupos y líneas, co-creación de proyectos y nuevas generaciones), priorizadas en 2025 y 2026.</t>
  </si>
  <si>
    <t xml:space="preserve">P1-A1, P1-A2, P1-A3</t>
  </si>
  <si>
    <t xml:space="preserve">1.2-5</t>
  </si>
  <si>
    <t xml:space="preserve">¿Cada año se revisa y actualiza el plan estratégico definido?</t>
  </si>
  <si>
    <t xml:space="preserve">Solo hubo planeación anual con indicadores en 2025 y 2026. De 2022 a 2024 hubo informes de avance, pero no una revisión anual documentada del plan.</t>
  </si>
  <si>
    <t xml:space="preserve">1.2-6</t>
  </si>
  <si>
    <t xml:space="preserve">¿Existen metas medibles y verificables de manera objetiva para cada indicador?</t>
  </si>
  <si>
    <t xml:space="preserve">Varias metas del plan no son medibles (por ejemplo, 'mayor alcance y reconocimiento internacional'). Los indicadores 2025-2026 sí tienen meta, aunque varios suman avances trimestrales en lugar de medir.</t>
  </si>
  <si>
    <t xml:space="preserve">P4-A6-M3, P3-A4-M1</t>
  </si>
  <si>
    <t xml:space="preserve">1.2-7</t>
  </si>
  <si>
    <t xml:space="preserve">¿Existe un nivel de apropiación del plan estratégico al interior de la organización?</t>
  </si>
  <si>
    <t xml:space="preserve">Hay evidencia de apropiación de la nueva estructura (97% de aprobación en 2024), pero no una medición de apropiación del plan estratégico.</t>
  </si>
  <si>
    <t xml:space="preserve">Planeación</t>
  </si>
  <si>
    <t xml:space="preserve">1.2-8</t>
  </si>
  <si>
    <t xml:space="preserve">¿La dirección ejecutiva estructura el proceso de innovación en diversas etapas claves e incentiva la participación de las diferentes áreas del centro?</t>
  </si>
  <si>
    <t xml:space="preserve">El proceso de innovación se configuró en 2022 dentro del campo de circulación; hubo un encuentro nacional con 4 macroproyectos co-diseñados (2022) y un colaboratorio de investigadores (2025).</t>
  </si>
  <si>
    <t xml:space="preserve">1.2-9</t>
  </si>
  <si>
    <t xml:space="preserve">¿La alta gerencia se preocupa por la asignación de recursos y por el seguimiento a la ejecución de las actividades de I+D?</t>
  </si>
  <si>
    <t xml:space="preserve">Proyectos del SGR con 100 puntos en GESPROY y primer lugar en desempeño (2023); seguimiento semestral a 8 proyectos (2025); seguimiento financiero al 85% de los 30 programas (2023).</t>
  </si>
  <si>
    <t xml:space="preserve">1.2-10</t>
  </si>
  <si>
    <t xml:space="preserve">¿La alta gerencia es dispuesta a asumir riesgos y asignar incentivos para las buenas ideas de los empleados?</t>
  </si>
  <si>
    <t xml:space="preserve">La política de incentivos está en borrador (90%) y se refiere a becas y beneficios, no a incentivos por ideas. No hay evidencia sobre asunción de riesgos.</t>
  </si>
  <si>
    <t xml:space="preserve">1.2-11</t>
  </si>
  <si>
    <t xml:space="preserve">¿El centro cuenta con procedimientos documentados y apropiados por los empleados para la gestión del sistema de investigación y gestión de proyectos de I+D?</t>
  </si>
  <si>
    <t xml:space="preserve">Lineamientos nacionales de I+D (2022), registro estandarizado en SharePoint del campo de I+D (2023) y lineamientos de calidad finalizados (2025). Su apropiación es parcial: el 50% de los procesos está documentado y los lineamientos no se aprobaron.</t>
  </si>
  <si>
    <t xml:space="preserve">P4-A1-M3, P5-A1-M1</t>
  </si>
  <si>
    <t xml:space="preserve">2.1-1</t>
  </si>
  <si>
    <t xml:space="preserve">¿Cuenta con acuerdos o convenios de cooperación con otros actores del SNCTI?</t>
  </si>
  <si>
    <t xml:space="preserve">Convenios con la U. de Manizales (CEANJ), la U. Luis Amigó y la F. CORPAS, y 8 convenios internacionales activos en 2024 (CLACSO, PUC São Paulo, El COLEF, entre otros).</t>
  </si>
  <si>
    <t xml:space="preserve">P5-A2-M1, P5-A4-M1</t>
  </si>
  <si>
    <t xml:space="preserve">2.1-2</t>
  </si>
  <si>
    <t xml:space="preserve">Igual que en 1.1: las alianzas y proyectos se centran en niñez y juventud.</t>
  </si>
  <si>
    <t xml:space="preserve">2.1-3</t>
  </si>
  <si>
    <t xml:space="preserve">¿El Centro contempla procesos que le ayudan a fortalecer sus capacidades, reforzar vínculos y desarrollar actividades misionales en colaboración con actores clave nacionales e internacionales?</t>
  </si>
  <si>
    <t xml:space="preserve">Participación en 29 redes (2025) y agenda de internacionalización con 23 actores con acercamiento en 2026.</t>
  </si>
  <si>
    <t xml:space="preserve">P3-A4-M1, P3-A4-M7</t>
  </si>
  <si>
    <t xml:space="preserve">2.1-4</t>
  </si>
  <si>
    <t xml:space="preserve">¿Existe ejecución de proyectos realizados con otros actores del SNCTeI?</t>
  </si>
  <si>
    <t xml:space="preserve">Proyecto de regalías de gobernanza en CTeI con la UMZ, la U. Autónoma de Manizales, la U. de Caldas y otras entidades; Territorios del Cuidado con la UMZ y CLACSO.</t>
  </si>
  <si>
    <t xml:space="preserve">P5-A3-M2, P1-A2-M3</t>
  </si>
  <si>
    <t xml:space="preserve">2.1-5</t>
  </si>
  <si>
    <t xml:space="preserve">¿Se ha hecho uso de estas alianzas para el fortalecimiento del centro?</t>
  </si>
  <si>
    <t xml:space="preserve">La alianza con la UMZ sostiene el CEANJ, cofinanció jóvenes investigadores y permitió coediciones (CLACSO y UMZ, 2026).</t>
  </si>
  <si>
    <t xml:space="preserve">P5-A3, P3-A3-M4</t>
  </si>
  <si>
    <t xml:space="preserve">2.1-6</t>
  </si>
  <si>
    <t xml:space="preserve">¿Cuentan con estrategias para la conformación de nuevas alianzas?</t>
  </si>
  <si>
    <t xml:space="preserve">Agenda de internacionalización 2026 con propuestas a Horizonte Europa, La Caixa y Erasmus+, y convenios en curso con la UNAD y la U. Luis Amigó.</t>
  </si>
  <si>
    <t xml:space="preserve">P5-A2-M1, P3-A4-M2</t>
  </si>
  <si>
    <t xml:space="preserve">2.1-7</t>
  </si>
  <si>
    <t xml:space="preserve">¿Es la interrelación con otros actores, un factor de importancia para la ejecución de proyectos?</t>
  </si>
  <si>
    <t xml:space="preserve">La mayoría de los proyectos se ejecutan en alianza (SGR, CLACSO, UMZ, Botnar, PIASE).</t>
  </si>
  <si>
    <t xml:space="preserve">2.1-8</t>
  </si>
  <si>
    <t xml:space="preserve">¿Cuántas alianzas o convenios de cooperación se realizan al año?</t>
  </si>
  <si>
    <t xml:space="preserve">No hay un conteo anual. Datos parciales: 9 proyectos nacionales y 3 internacionales en 2023, y 8 convenios internacionales activos en 2024.</t>
  </si>
  <si>
    <t xml:space="preserve">Gestión estratégica</t>
  </si>
  <si>
    <t xml:space="preserve">2.1-9</t>
  </si>
  <si>
    <t xml:space="preserve">¿El centro cuenta con suficiente interrelación para el desarrollo de sus actividades?</t>
  </si>
  <si>
    <t xml:space="preserve">Red amplia de aliados nacionales e internacionales, aunque las metas de alianzas de la Escuela Digital no se cumplieron.</t>
  </si>
  <si>
    <t xml:space="preserve">P3-A4, P4-A6</t>
  </si>
  <si>
    <t xml:space="preserve">3.1-1</t>
  </si>
  <si>
    <t xml:space="preserve">¿Existe personal científico, técnico o administrativo?</t>
  </si>
  <si>
    <t xml:space="preserve">76 colaboradores en nómina y 111 personas en todas las modalidades de contrato (2023).</t>
  </si>
  <si>
    <t xml:space="preserve">Logro L03</t>
  </si>
  <si>
    <t xml:space="preserve">3.1-2</t>
  </si>
  <si>
    <t xml:space="preserve">¿El personal científico cuenta con la formación académica requerida para el desarrollo de actividades de investigación?</t>
  </si>
  <si>
    <t xml:space="preserve">Las fuentes del plan no tienen datos sobre la formación del personal científico.</t>
  </si>
  <si>
    <t xml:space="preserve">Talento Humano e I+D</t>
  </si>
  <si>
    <t xml:space="preserve">3.1-3</t>
  </si>
  <si>
    <t xml:space="preserve">¿Más del 70% del personal científico cuenta con reconocimiento vigente como investigador?</t>
  </si>
  <si>
    <t xml:space="preserve">Las fuentes del plan no tienen datos sobre el reconocimiento de los investigadores.</t>
  </si>
  <si>
    <t xml:space="preserve">3.1-4</t>
  </si>
  <si>
    <t xml:space="preserve">¿Más del 60% del personal científico cuenta con formación de doctorado?</t>
  </si>
  <si>
    <t xml:space="preserve">Las fuentes del plan no tienen datos sobre doctores en el personal científico.</t>
  </si>
  <si>
    <t xml:space="preserve">3.1-5</t>
  </si>
  <si>
    <t xml:space="preserve">¿El personal científico sin reconocimiento cuenta con hoja de vida registrada en CvLAC?</t>
  </si>
  <si>
    <t xml:space="preserve">En 2023 se llegó al 80% de la información de los investigadores en CvLAC; no todos la tienen completa.</t>
  </si>
  <si>
    <t xml:space="preserve">3.1-6</t>
  </si>
  <si>
    <t xml:space="preserve">¿El personal científico relacionado es suficiente para la realización de las actividades de I+D?</t>
  </si>
  <si>
    <t xml:space="preserve">Las fuentes del plan no tienen un análisis de suficiencia del personal científico.</t>
  </si>
  <si>
    <t xml:space="preserve">I+D</t>
  </si>
  <si>
    <t xml:space="preserve">3.1-7</t>
  </si>
  <si>
    <t xml:space="preserve">¿Más del 50% del personal científico cuenta con vinculación de tiempo completo?</t>
  </si>
  <si>
    <t xml:space="preserve">Las fuentes del plan no tienen datos sobre el tipo de dedicación del personal científico.</t>
  </si>
  <si>
    <t xml:space="preserve">Talento Humano</t>
  </si>
  <si>
    <t xml:space="preserve">3.1-8</t>
  </si>
  <si>
    <t xml:space="preserve">¿Existen documentos que soporten el tipo de vinculación de cada integrante del centro, detallando sus funciones y horas de dedicación?</t>
  </si>
  <si>
    <t xml:space="preserve">Manual de roles y funciones con fichas por cargo (90%), matriz de capacidad y asignación laboral (2023) y matriz de contratos (50%).</t>
  </si>
  <si>
    <t xml:space="preserve">P6-A3-M1, P6-A4-M1</t>
  </si>
  <si>
    <t xml:space="preserve">3.1-9</t>
  </si>
  <si>
    <t xml:space="preserve">¿El número de investigadores o personal científico se incrementa anualmente?</t>
  </si>
  <si>
    <t xml:space="preserve">Las fuentes del plan no tienen el número de investigadores por año.</t>
  </si>
  <si>
    <t xml:space="preserve">3.1-10</t>
  </si>
  <si>
    <t xml:space="preserve">¿El personal de apoyo cuenta con registro en CvLAC?</t>
  </si>
  <si>
    <t xml:space="preserve">Las fuentes del plan no tienen datos sobre el registro del personal de apoyo.</t>
  </si>
  <si>
    <t xml:space="preserve">3.1-11</t>
  </si>
  <si>
    <t xml:space="preserve">¿Existen estrategias de formación continua para el personal científico, técnico y administrativo?</t>
  </si>
  <si>
    <t xml:space="preserve">Formación de 20 líderes en Microsoft 365 (2023), capacitación en estilos de mando (2025), plan de formación en nuevas tecnologías al 70% y evaluación de desempeño al 95% del personal (2026).</t>
  </si>
  <si>
    <t xml:space="preserve">P4-A1-M4, P6-A3-M1</t>
  </si>
  <si>
    <t xml:space="preserve">3.2-1</t>
  </si>
  <si>
    <t xml:space="preserve">¿Existe una planificación temporal detallada, y un presupuesto asignado con metas a conseguir para cada fase y con una relación de costes previstos?</t>
  </si>
  <si>
    <t xml:space="preserve">Presupuesto anual por programas y proyectos, con ejecución a mes vencido (2023). No hay evidencia de presupuesto por fases de cada proyecto.</t>
  </si>
  <si>
    <t xml:space="preserve">Logro L04</t>
  </si>
  <si>
    <t xml:space="preserve">3.2-2</t>
  </si>
  <si>
    <t xml:space="preserve">¿Se reciben recursos de fuentes externas para financiar los proyectos de I+D?</t>
  </si>
  <si>
    <t xml:space="preserve">Proyectos del Sistema General de Regalías, CLACSO, Botnar, PIASE y Minciencias.</t>
  </si>
  <si>
    <t xml:space="preserve">P5-A2-M2, P5-A3-M2</t>
  </si>
  <si>
    <t xml:space="preserve">3.2-3</t>
  </si>
  <si>
    <t xml:space="preserve">¿El centro cuenta con un rubro para imprevistos o asignación esporádica de recursos, para financiar la selección de nuevas ideas y su implementación a través de la ejecución de proyectos de I+D?</t>
  </si>
  <si>
    <t xml:space="preserve">Las fuentes del plan no mencionan un rubro para imprevistos o para nuevas ideas.</t>
  </si>
  <si>
    <t xml:space="preserve">Gestión financiera</t>
  </si>
  <si>
    <t xml:space="preserve">3.2-4</t>
  </si>
  <si>
    <t xml:space="preserve">¿Los recursos financieros son suficientes para llevar a cabo las diferentes actividades de acuerdo con las líneas de acción priorizadas en el marco de la estrategia de I+D?</t>
  </si>
  <si>
    <t xml:space="preserve">La Escuela Digital Ékora se suspendió por falta de recursos (2025) y las propuestas de oferta propia de 2026 no tienen financiación. La composición de ingresos quedó lejos de la meta.</t>
  </si>
  <si>
    <t xml:space="preserve">P4-A3-M1, P1-A2-M3, P5-A7</t>
  </si>
  <si>
    <t xml:space="preserve">3.2-5</t>
  </si>
  <si>
    <t xml:space="preserve">¿El Centro gestiona la captación de recursos financieros (sector público, sector privado, acceso a convocatorias para proyectos de investigación internas, externas, entre otros)?</t>
  </si>
  <si>
    <t xml:space="preserve">32 propuestas presentadas en 2023, 19 en 2024 y 24% de aprobación de convocatorias en 2026 (meta 20%).</t>
  </si>
  <si>
    <t xml:space="preserve">3.3-1</t>
  </si>
  <si>
    <t xml:space="preserve">¿El centro cuenta con maquinaria y laboratorios de uso exclusivo para la ejecución de las actividades de I+D?</t>
  </si>
  <si>
    <t xml:space="preserve">Las fuentes del plan no mencionan laboratorios ni equipos de uso exclusivo para I+D.</t>
  </si>
  <si>
    <t xml:space="preserve">Tecnología y Administrativa</t>
  </si>
  <si>
    <t xml:space="preserve">3.3-2</t>
  </si>
  <si>
    <t xml:space="preserve">¿Ha desarrollado nuevos equipos para sus procesos productivos?</t>
  </si>
  <si>
    <t xml:space="preserve">Las fuentes del plan no mencionan el desarrollo de equipos propios.</t>
  </si>
  <si>
    <t xml:space="preserve">Tecnología</t>
  </si>
  <si>
    <t xml:space="preserve">3.3-3</t>
  </si>
  <si>
    <t xml:space="preserve">¿Existe un plan estratégico a medio o largo plazo para incorporar y/o mejorar nuevas tecnologías a los nuevos productos?</t>
  </si>
  <si>
    <t xml:space="preserve">El Programa 4 Transformación digital del plan 2022-2026. Falta una ruta formal de actualización del parque tecnológico.</t>
  </si>
  <si>
    <t xml:space="preserve">P4-A1, P4-A2-M1</t>
  </si>
  <si>
    <t xml:space="preserve">3.3-4</t>
  </si>
  <si>
    <t xml:space="preserve">¿Se invierte en tecnologías de la información para estar al día y poder continuar haciendo lo mismo de un modo más rápido y cómodo?</t>
  </si>
  <si>
    <t xml:space="preserve">Internet de 200 a 900 MB, servidor VPS, 12 equipos nuevos, migración de servidores y sistema de información institucional.</t>
  </si>
  <si>
    <t xml:space="preserve">P4-A2-M1, P4-A1-M1</t>
  </si>
  <si>
    <t xml:space="preserve">3.3-5</t>
  </si>
  <si>
    <t xml:space="preserve">¿La oferta científica / tecnológica del Centro está acorde con su direccionamiento estratégico?</t>
  </si>
  <si>
    <t xml:space="preserve">Proyectos digitales derivados de programas propios (bíosala, virtualización de Convidarte para la Paz) y la Escuela Digital Ékora, suspendida en 2025.</t>
  </si>
  <si>
    <t xml:space="preserve">P4-A5-M1, P4-A3-M1</t>
  </si>
  <si>
    <t xml:space="preserve">3.3-6</t>
  </si>
  <si>
    <t xml:space="preserve">¿Los insumos, equipos, software, bases de datos, herramientas, etc., son los adecuados de acuerdo a los alcances de investigación del Centro?</t>
  </si>
  <si>
    <t xml:space="preserve">Licenciamiento certificado y renovado, y mesa de ayuda en operación. Queda pendiente actualizar los equipos de los colaboradores.</t>
  </si>
  <si>
    <t xml:space="preserve">P4-A2-M2, P4-A2-M3</t>
  </si>
  <si>
    <t xml:space="preserve">3.3-7</t>
  </si>
  <si>
    <t xml:space="preserve">¿Existen procedimientos operativos adecuados para el mantenimiento y calibración de los equipos propios?</t>
  </si>
  <si>
    <t xml:space="preserve">Las fuentes del plan no mencionan procedimientos de mantenimiento de equipos.</t>
  </si>
  <si>
    <t xml:space="preserve">4.1-1</t>
  </si>
  <si>
    <t xml:space="preserve">4.1</t>
  </si>
  <si>
    <t xml:space="preserve">¿La cantidad y calidad de productos generados está acorde con el tiempo de funcionamiento del Centro, con sus alcances y capacidades?</t>
  </si>
  <si>
    <t xml:space="preserve">3 de 4 grupos en A1 o A, publicaciones en revistas indexadas (2023), 19 libros y cartillas y 50 productos de apropiación social (2026). Falta el conteo de productos por tipología.</t>
  </si>
  <si>
    <t xml:space="preserve">P1-A1-M1, P3-A3-M3</t>
  </si>
  <si>
    <t xml:space="preserve">4.1-2</t>
  </si>
  <si>
    <t xml:space="preserve">¿Los proyectos de I+D en ejecución, evidencian continuidad en las líneas de investigación?</t>
  </si>
  <si>
    <t xml:space="preserve">6 líneas activas con plan de líneas 2025-2030; los programas Expedición Pacífica y Territorios del Buen Vivir dan continuidad a las líneas.</t>
  </si>
  <si>
    <t xml:space="preserve">P1-A1-M2, P5-A3-M1</t>
  </si>
  <si>
    <t xml:space="preserve">4.1-3</t>
  </si>
  <si>
    <t xml:space="preserve">¿Los productos resultado de actividades de generación de nuevo conocimiento, apropiación social del conocimiento y aquellos relacionados con el fortalecimiento de la comunidad científica son coherentes con la misión, la planeación estratégica y las actividades de I+D inmersas?</t>
  </si>
  <si>
    <t xml:space="preserve">Los productos se derivan de proyectos sobre niñez y juventud y responden a metas del plan (P1, P3).</t>
  </si>
  <si>
    <t xml:space="preserve">P1-A1-M4, P1-A1-M5</t>
  </si>
  <si>
    <t xml:space="preserve">4.1-4</t>
  </si>
  <si>
    <t xml:space="preserve">¿Más del 50% de sus resultados corresponde a productos de nuevo conocimiento?</t>
  </si>
  <si>
    <t xml:space="preserve">No hay conteo por tipología. En 2026, 45 de los 50 productos registrados son policy briefs, que son de apropiación social.</t>
  </si>
  <si>
    <t xml:space="preserve">4.1-5</t>
  </si>
  <si>
    <t xml:space="preserve">¿Los productos y proyectos desarrollados están alineados con la definición de centro de investigación?</t>
  </si>
  <si>
    <t xml:space="preserve">Minciencias renovó el reconocimiento de CINDE como Centro de Investigación y Desarrollo en 2023.</t>
  </si>
  <si>
    <t xml:space="preserve">4.1-6</t>
  </si>
  <si>
    <t xml:space="preserve">¿Los productos de nuevo conocimiento dan cuenta de los proyectos ejecutados por el centro?</t>
  </si>
  <si>
    <t xml:space="preserve">Publicaciones en revistas indexadas con resultados de proyectos (2023) y libros de los programas Expedición Pacífica y Convidarte.</t>
  </si>
  <si>
    <t xml:space="preserve">Logro L06, P3-A3</t>
  </si>
  <si>
    <t xml:space="preserve">4.1-7</t>
  </si>
  <si>
    <t xml:space="preserve">¿Se tienen resultados conjuntos con otros actores del SNCTeI?</t>
  </si>
  <si>
    <t xml:space="preserve">Coedición con CLACSO y UMZ (2026) y proyectos de regalías con universidades de Caldas.</t>
  </si>
  <si>
    <t xml:space="preserve">P3-A3-M4, P5-A3-M2</t>
  </si>
  <si>
    <t xml:space="preserve">4.1-8</t>
  </si>
  <si>
    <t xml:space="preserve">¿Se realizan actividades de divulgación de resultados?</t>
  </si>
  <si>
    <t xml:space="preserve">Conversatorios y webinars (2025), 308.000 interacciones en canales de divulgación (2024) y lanzamientos de publicaciones.</t>
  </si>
  <si>
    <t xml:space="preserve">P3-A2-M1, Logro L10</t>
  </si>
  <si>
    <t xml:space="preserve">4.1-9</t>
  </si>
  <si>
    <t xml:space="preserve">¿El centro es activo en la participación de eventos nacionales e internacionales?</t>
  </si>
  <si>
    <t xml:space="preserve">87 eventos nacionales e internacionales en 2024 y V Bienal Latinoamericana en 26 países (2023).</t>
  </si>
  <si>
    <t xml:space="preserve">Logro L08, P3-A4-M4</t>
  </si>
</sst>
</file>

<file path=xl/styles.xml><?xml version="1.0" encoding="utf-8"?>
<styleSheet xmlns="http://schemas.openxmlformats.org/spreadsheetml/2006/main">
  <numFmts count="6">
    <numFmt numFmtId="164" formatCode="General"/>
    <numFmt numFmtId="165" formatCode="0%"/>
    <numFmt numFmtId="166" formatCode="0"/>
    <numFmt numFmtId="167" formatCode="0;\-0;;"/>
    <numFmt numFmtId="168" formatCode="General"/>
    <numFmt numFmtId="169" formatCode="0.00%"/>
  </numFmts>
  <fonts count="20">
    <font>
      <sz val="11"/>
      <color theme="1"/>
      <name val="Calibri"/>
      <family val="0"/>
      <charset val="1"/>
    </font>
    <font>
      <sz val="10"/>
      <name val="Arial"/>
      <family val="0"/>
    </font>
    <font>
      <sz val="10"/>
      <name val="Arial"/>
      <family val="0"/>
    </font>
    <font>
      <sz val="10"/>
      <name val="Arial"/>
      <family val="0"/>
    </font>
    <font>
      <b val="true"/>
      <sz val="12"/>
      <color theme="1"/>
      <name val="Arial"/>
      <family val="0"/>
      <charset val="1"/>
    </font>
    <font>
      <sz val="10"/>
      <color theme="1"/>
      <name val="Arial"/>
      <family val="0"/>
      <charset val="1"/>
    </font>
    <font>
      <sz val="10"/>
      <name val="Arial"/>
      <family val="0"/>
      <charset val="1"/>
    </font>
    <font>
      <b val="true"/>
      <sz val="16"/>
      <color rgb="FF1F4E79"/>
      <name val="Arial"/>
      <family val="0"/>
      <charset val="1"/>
    </font>
    <font>
      <sz val="9"/>
      <color rgb="FF808080"/>
      <name val="Arial"/>
      <family val="0"/>
      <charset val="1"/>
    </font>
    <font>
      <sz val="9"/>
      <color rgb="FF595959"/>
      <name val="Arial"/>
      <family val="0"/>
      <charset val="1"/>
    </font>
    <font>
      <b val="true"/>
      <sz val="20"/>
      <color rgb="FF1F4E79"/>
      <name val="Arial"/>
      <family val="0"/>
      <charset val="1"/>
    </font>
    <font>
      <b val="true"/>
      <sz val="10"/>
      <name val="Arial"/>
      <family val="0"/>
      <charset val="1"/>
    </font>
    <font>
      <sz val="11"/>
      <name val="Arial"/>
      <family val="0"/>
      <charset val="1"/>
    </font>
    <font>
      <b val="true"/>
      <sz val="18"/>
      <color rgb="FF000000"/>
      <name val="Calibri"/>
      <family val="2"/>
    </font>
    <font>
      <sz val="10"/>
      <color rgb="FF000000"/>
      <name val="Calibri"/>
      <family val="2"/>
    </font>
    <font>
      <b val="true"/>
      <sz val="10"/>
      <color rgb="FF000000"/>
      <name val="Calibri"/>
      <family val="2"/>
    </font>
    <font>
      <b val="true"/>
      <sz val="11"/>
      <color rgb="FFFFFFFF"/>
      <name val="Arial"/>
      <family val="0"/>
      <charset val="1"/>
    </font>
    <font>
      <b val="true"/>
      <sz val="14"/>
      <name val="Arial"/>
      <family val="0"/>
      <charset val="1"/>
    </font>
    <font>
      <b val="true"/>
      <sz val="12"/>
      <color rgb="FF1F4E79"/>
      <name val="Arial"/>
      <family val="0"/>
      <charset val="1"/>
    </font>
    <font>
      <b val="true"/>
      <sz val="10"/>
      <color rgb="FFFFFFFF"/>
      <name val="Arial"/>
      <family val="0"/>
      <charset val="1"/>
    </font>
  </fonts>
  <fills count="5">
    <fill>
      <patternFill patternType="none"/>
    </fill>
    <fill>
      <patternFill patternType="gray125"/>
    </fill>
    <fill>
      <patternFill patternType="solid">
        <fgColor rgb="FF1F4E79"/>
        <bgColor rgb="FF1E5E43"/>
      </patternFill>
    </fill>
    <fill>
      <patternFill patternType="solid">
        <fgColor rgb="FFE7E6E6"/>
        <bgColor rgb="FFD9DEE6"/>
      </patternFill>
    </fill>
    <fill>
      <patternFill patternType="solid">
        <fgColor rgb="FFFFF2CC"/>
        <bgColor rgb="FFE7E6E6"/>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5" fontId="10" fillId="0" borderId="0" xfId="0" applyFont="true" applyBorder="false" applyAlignment="true" applyProtection="false">
      <alignment horizontal="general" vertical="bottom" textRotation="0" wrapText="false" indent="0" shrinkToFit="false"/>
      <protection locked="true" hidden="false"/>
    </xf>
    <xf numFmtId="166" fontId="10"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6" fillId="2" borderId="0" xfId="0" applyFont="true" applyBorder="false" applyAlignment="true" applyProtection="false">
      <alignment horizontal="general" vertical="center"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8" fontId="5" fillId="3" borderId="0" xfId="0" applyFont="true" applyBorder="false" applyAlignment="true" applyProtection="false">
      <alignment horizontal="general" vertical="bottom" textRotation="0" wrapText="false" indent="0" shrinkToFit="false"/>
      <protection locked="true" hidden="false"/>
    </xf>
    <xf numFmtId="164" fontId="16" fillId="2"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64" fontId="19" fillId="2" borderId="0" xfId="0" applyFont="true" applyBorder="false" applyAlignment="true" applyProtection="false">
      <alignment horizontal="general" vertical="center" textRotation="0" wrapText="tru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69" fontId="8" fillId="0" borderId="0" xfId="0" applyFont="true" applyBorder="false" applyAlignment="true" applyProtection="false">
      <alignment horizontal="general" vertical="bottom" textRotation="0" wrapText="false" indent="0" shrinkToFit="false"/>
      <protection locked="true" hidden="false"/>
    </xf>
    <xf numFmtId="165" fontId="11"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16" fillId="2" borderId="0" xfId="0" applyFont="true" applyBorder="false" applyAlignment="true" applyProtection="false">
      <alignment horizontal="general" vertical="bottom" textRotation="0" wrapText="true" indent="0" shrinkToFit="false"/>
      <protection locked="true" hidden="false"/>
    </xf>
    <xf numFmtId="164" fontId="6" fillId="4"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4E79"/>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E7E6E6"/>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BCC8"/>
      <rgbColor rgb="FF808080"/>
      <rgbColor rgb="FF8B8B8B"/>
      <rgbColor rgb="FFC0503A"/>
      <rgbColor rgb="FFFFF2CC"/>
      <rgbColor rgb="FFE7E6E6"/>
      <rgbColor rgb="FF660066"/>
      <rgbColor rgb="FFFF8080"/>
      <rgbColor rgb="FF2F5FA8"/>
      <rgbColor rgb="FFD9D9D9"/>
      <rgbColor rgb="FF000080"/>
      <rgbColor rgb="FFFF00FF"/>
      <rgbColor rgb="FFFFFF00"/>
      <rgbColor rgb="FF00FFFF"/>
      <rgbColor rgb="FF800080"/>
      <rgbColor rgb="FF800000"/>
      <rgbColor rgb="FF008080"/>
      <rgbColor rgb="FF0000FF"/>
      <rgbColor rgb="FF00CCFF"/>
      <rgbColor rgb="FFD9DEE6"/>
      <rgbColor rgb="FFCCFFCC"/>
      <rgbColor rgb="FFFFFF99"/>
      <rgbColor rgb="FF99CCFF"/>
      <rgbColor rgb="FFFF99CC"/>
      <rgbColor rgb="FFCC99FF"/>
      <rgbColor rgb="FFE0B04F"/>
      <rgbColor rgb="FF3366FF"/>
      <rgbColor rgb="FF5BA37F"/>
      <rgbColor rgb="FF99CC00"/>
      <rgbColor rgb="FFFFCC00"/>
      <rgbColor rgb="FFC98A12"/>
      <rgbColor rgb="FFFF6600"/>
      <rgbColor rgb="FF595959"/>
      <rgbColor rgb="FF8C97A6"/>
      <rgbColor rgb="FF003366"/>
      <rgbColor rgb="FF2E7D5B"/>
      <rgbColor rgb="FF003300"/>
      <rgbColor rgb="FF333300"/>
      <rgbColor rgb="FFB8432F"/>
      <rgbColor rgb="FF993366"/>
      <rgbColor rgb="FF1F4E79"/>
      <rgbColor rgb="FF1E5E4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ea typeface="Calibri"/>
              </a:defRPr>
            </a:pPr>
            <a:r>
              <a:rPr b="1" sz="1800" spc="-1" strike="noStrike">
                <a:solidFill>
                  <a:srgbClr val="000000"/>
                </a:solidFill>
                <a:latin typeface="Calibri"/>
                <a:ea typeface="Calibri"/>
              </a:rPr>
              <a:t>Quién logró más: avance por programa</a:t>
            </a:r>
          </a:p>
        </c:rich>
      </c:tx>
      <c:overlay val="0"/>
      <c:spPr>
        <a:noFill/>
        <a:ln w="0">
          <a:noFill/>
        </a:ln>
      </c:spPr>
    </c:title>
    <c:autoTitleDeleted val="0"/>
    <c:plotArea>
      <c:barChart>
        <c:barDir val="bar"/>
        <c:grouping val="clustered"/>
        <c:varyColors val="0"/>
        <c:ser>
          <c:idx val="0"/>
          <c:order val="0"/>
          <c:tx>
            <c:strRef>
              <c:f>Análisis!C15</c:f>
              <c:strCache>
                <c:ptCount val="1"/>
                <c:pt idx="0">
                  <c:v>Avance</c:v>
                </c:pt>
              </c:strCache>
            </c:strRef>
          </c:tx>
          <c:spPr>
            <a:solidFill>
              <a:srgbClr val="2f5fa8"/>
            </a:solidFill>
            <a:ln w="6480">
              <a:solidFill>
                <a:srgbClr val="2f5fa8"/>
              </a:solidFill>
              <a:round/>
            </a:ln>
          </c:spPr>
          <c:invertIfNegative val="0"/>
          <c:dLbls>
            <c:numFmt formatCode="0%" sourceLinked="1"/>
            <c:txPr>
              <a:bodyPr wrap="square"/>
              <a:lstStyle/>
              <a:p>
                <a:pPr>
                  <a:defRPr b="0" sz="1000" spc="-1" strike="noStrike">
                    <a:solidFill>
                      <a:srgbClr val="000000"/>
                    </a:solidFill>
                    <a:latin typeface="Calibri"/>
                    <a:ea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Análisis!$B$16:$B$21</c:f>
              <c:strCache>
                <c:ptCount val="6"/>
                <c:pt idx="0">
                  <c:v>P2 Formación</c:v>
                </c:pt>
                <c:pt idx="1">
                  <c:v>P6 Talento humano</c:v>
                </c:pt>
                <c:pt idx="2">
                  <c:v>P1 Investigación-desarrollo</c:v>
                </c:pt>
                <c:pt idx="3">
                  <c:v>P4 Transformación digital</c:v>
                </c:pt>
                <c:pt idx="4">
                  <c:v>P3 Circulación del conocimiento</c:v>
                </c:pt>
                <c:pt idx="5">
                  <c:v>P5 Planeación y CEA</c:v>
                </c:pt>
              </c:strCache>
            </c:strRef>
          </c:cat>
          <c:val>
            <c:numRef>
              <c:f>Análisis!$C$16:$C$21</c:f>
              <c:numCache>
                <c:formatCode>0%</c:formatCode>
                <c:ptCount val="6"/>
                <c:pt idx="0">
                  <c:v>0.79</c:v>
                </c:pt>
                <c:pt idx="1">
                  <c:v>0.68</c:v>
                </c:pt>
                <c:pt idx="2">
                  <c:v>0.57</c:v>
                </c:pt>
                <c:pt idx="3">
                  <c:v>0.5</c:v>
                </c:pt>
                <c:pt idx="4">
                  <c:v>0.49</c:v>
                </c:pt>
                <c:pt idx="5">
                  <c:v>0.46</c:v>
                </c:pt>
              </c:numCache>
            </c:numRef>
          </c:val>
        </c:ser>
        <c:gapWidth val="60"/>
        <c:overlap val="0"/>
        <c:axId val="24008127"/>
        <c:axId val="41786474"/>
      </c:barChart>
      <c:catAx>
        <c:axId val="24008127"/>
        <c:scaling>
          <c:orientation val="maxMin"/>
        </c:scaling>
        <c:delete val="0"/>
        <c:axPos val="b"/>
        <c:numFmt formatCode="General" sourceLinked="0"/>
        <c:majorTickMark val="none"/>
        <c:minorTickMark val="none"/>
        <c:tickLblPos val="nextTo"/>
        <c:spPr>
          <a:ln w="6480">
            <a:solidFill>
              <a:srgbClr val="8b8b8b"/>
            </a:solidFill>
            <a:round/>
          </a:ln>
        </c:spPr>
        <c:txPr>
          <a:bodyPr/>
          <a:lstStyle/>
          <a:p>
            <a:pPr>
              <a:defRPr b="0" sz="1000" spc="-1" strike="noStrike">
                <a:solidFill>
                  <a:srgbClr val="000000"/>
                </a:solidFill>
                <a:latin typeface="Calibri"/>
                <a:ea typeface="Calibri"/>
              </a:defRPr>
            </a:pPr>
          </a:p>
        </c:txPr>
        <c:crossAx val="41786474"/>
        <c:crosses val="autoZero"/>
        <c:auto val="1"/>
        <c:lblAlgn val="ctr"/>
        <c:lblOffset val="100"/>
        <c:noMultiLvlLbl val="0"/>
      </c:catAx>
      <c:valAx>
        <c:axId val="41786474"/>
        <c:scaling>
          <c:orientation val="minMax"/>
          <c:max val="1"/>
          <c:min val="0"/>
        </c:scaling>
        <c:delete val="0"/>
        <c:axPos val="l"/>
        <c:numFmt formatCode="0%" sourceLinked="0"/>
        <c:majorTickMark val="none"/>
        <c:minorTickMark val="none"/>
        <c:tickLblPos val="nextTo"/>
        <c:spPr>
          <a:ln w="6480">
            <a:solidFill>
              <a:srgbClr val="8b8b8b"/>
            </a:solidFill>
            <a:round/>
          </a:ln>
        </c:spPr>
        <c:txPr>
          <a:bodyPr/>
          <a:lstStyle/>
          <a:p>
            <a:pPr>
              <a:defRPr b="0" sz="1000" spc="-1" strike="noStrike">
                <a:solidFill>
                  <a:srgbClr val="000000"/>
                </a:solidFill>
                <a:latin typeface="Calibri"/>
                <a:ea typeface="Calibri"/>
              </a:defRPr>
            </a:pPr>
          </a:p>
        </c:txPr>
        <c:crossAx val="24008127"/>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ea typeface="Calibri"/>
              </a:defRPr>
            </a:pPr>
            <a:r>
              <a:rPr b="1" sz="1800" spc="-1" strike="noStrike">
                <a:solidFill>
                  <a:srgbClr val="000000"/>
                </a:solidFill>
                <a:latin typeface="Calibri"/>
                <a:ea typeface="Calibri"/>
              </a:rPr>
              <a:t>Lo logrado y lo pendiente por programa</a:t>
            </a:r>
          </a:p>
        </c:rich>
      </c:tx>
      <c:overlay val="0"/>
      <c:spPr>
        <a:noFill/>
        <a:ln w="0">
          <a:noFill/>
        </a:ln>
      </c:spPr>
    </c:title>
    <c:autoTitleDeleted val="0"/>
    <c:plotArea>
      <c:barChart>
        <c:barDir val="bar"/>
        <c:grouping val="percentStacked"/>
        <c:varyColors val="0"/>
        <c:ser>
          <c:idx val="0"/>
          <c:order val="0"/>
          <c:tx>
            <c:strRef>
              <c:f>Análisis!B5</c:f>
              <c:strCache>
                <c:ptCount val="1"/>
                <c:pt idx="0">
                  <c:v>Avance</c:v>
                </c:pt>
              </c:strCache>
            </c:strRef>
          </c:tx>
          <c:spPr>
            <a:solidFill>
              <a:srgbClr val="2f5fa8"/>
            </a:solidFill>
            <a:ln w="6480">
              <a:solidFill>
                <a:srgbClr val="2f5fa8"/>
              </a:solidFill>
              <a:round/>
            </a:ln>
          </c:spPr>
          <c:invertIfNegative val="0"/>
          <c:dLbls>
            <c:numFmt formatCode="0%" sourceLinked="1"/>
            <c:txPr>
              <a:bodyPr wrap="square"/>
              <a:lstStyle/>
              <a:p>
                <a:pPr>
                  <a:defRPr b="0" sz="1000" spc="-1" strike="noStrike">
                    <a:solidFill>
                      <a:srgbClr val="000000"/>
                    </a:solidFill>
                    <a:latin typeface="Calibri"/>
                    <a:ea typeface="Calibri"/>
                  </a:defRPr>
                </a:pPr>
              </a:p>
            </c:txPr>
            <c:dLblPos val="ctr"/>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Análisis!$A$6:$A$12</c:f>
              <c:strCache>
                <c:ptCount val="7"/>
                <c:pt idx="0">
                  <c:v>P1 Investigación-desarrollo</c:v>
                </c:pt>
                <c:pt idx="1">
                  <c:v>P2 Formación</c:v>
                </c:pt>
                <c:pt idx="2">
                  <c:v>P3 Circulación del conocimiento</c:v>
                </c:pt>
                <c:pt idx="3">
                  <c:v>P4 Transformación digital</c:v>
                </c:pt>
                <c:pt idx="4">
                  <c:v>P5 Planeación y CEA</c:v>
                </c:pt>
                <c:pt idx="5">
                  <c:v>P6 Talento humano</c:v>
                </c:pt>
                <c:pt idx="6">
                  <c:v>Plan (P1 a P6)</c:v>
                </c:pt>
              </c:strCache>
            </c:strRef>
          </c:cat>
          <c:val>
            <c:numRef>
              <c:f>Análisis!$B$6:$B$12</c:f>
              <c:numCache>
                <c:formatCode>0%</c:formatCode>
                <c:ptCount val="7"/>
                <c:pt idx="0">
                  <c:v>0.57</c:v>
                </c:pt>
                <c:pt idx="1">
                  <c:v>0.79</c:v>
                </c:pt>
                <c:pt idx="2">
                  <c:v>0.49</c:v>
                </c:pt>
                <c:pt idx="3">
                  <c:v>0.5</c:v>
                </c:pt>
                <c:pt idx="4">
                  <c:v>0.46</c:v>
                </c:pt>
                <c:pt idx="5">
                  <c:v>0.68</c:v>
                </c:pt>
                <c:pt idx="6">
                  <c:v>0.58</c:v>
                </c:pt>
              </c:numCache>
            </c:numRef>
          </c:val>
        </c:ser>
        <c:ser>
          <c:idx val="1"/>
          <c:order val="1"/>
          <c:tx>
            <c:strRef>
              <c:f>Análisis!C5</c:f>
              <c:strCache>
                <c:ptCount val="1"/>
                <c:pt idx="0">
                  <c:v>Pendiente</c:v>
                </c:pt>
              </c:strCache>
            </c:strRef>
          </c:tx>
          <c:spPr>
            <a:solidFill>
              <a:srgbClr val="d9dee6"/>
            </a:solidFill>
            <a:ln w="6480">
              <a:solidFill>
                <a:srgbClr val="d9dee6"/>
              </a:solidFill>
              <a:round/>
            </a:ln>
          </c:spPr>
          <c:invertIfNegative val="0"/>
          <c:dLbls>
            <c:numFmt formatCode="0%" sourceLinked="1"/>
            <c:txPr>
              <a:bodyPr wrap="square"/>
              <a:lstStyle/>
              <a:p>
                <a:pPr>
                  <a:defRPr b="0" sz="1000" spc="-1" strike="noStrike">
                    <a:solidFill>
                      <a:srgbClr val="000000"/>
                    </a:solidFill>
                    <a:latin typeface="Calibri"/>
                    <a:ea typeface="Calibri"/>
                  </a:defRPr>
                </a:pPr>
              </a:p>
            </c:txPr>
            <c:dLblPos val="ctr"/>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Análisis!$A$6:$A$12</c:f>
              <c:strCache>
                <c:ptCount val="7"/>
                <c:pt idx="0">
                  <c:v>P1 Investigación-desarrollo</c:v>
                </c:pt>
                <c:pt idx="1">
                  <c:v>P2 Formación</c:v>
                </c:pt>
                <c:pt idx="2">
                  <c:v>P3 Circulación del conocimiento</c:v>
                </c:pt>
                <c:pt idx="3">
                  <c:v>P4 Transformación digital</c:v>
                </c:pt>
                <c:pt idx="4">
                  <c:v>P5 Planeación y CEA</c:v>
                </c:pt>
                <c:pt idx="5">
                  <c:v>P6 Talento humano</c:v>
                </c:pt>
                <c:pt idx="6">
                  <c:v>Plan (P1 a P6)</c:v>
                </c:pt>
              </c:strCache>
            </c:strRef>
          </c:cat>
          <c:val>
            <c:numRef>
              <c:f>Análisis!$C$6:$C$12</c:f>
              <c:numCache>
                <c:formatCode>0%</c:formatCode>
                <c:ptCount val="7"/>
                <c:pt idx="0">
                  <c:v>0.43</c:v>
                </c:pt>
                <c:pt idx="1">
                  <c:v>0.21</c:v>
                </c:pt>
                <c:pt idx="2">
                  <c:v>0.51</c:v>
                </c:pt>
                <c:pt idx="3">
                  <c:v>0.5</c:v>
                </c:pt>
                <c:pt idx="4">
                  <c:v>0.54</c:v>
                </c:pt>
                <c:pt idx="5">
                  <c:v>0.32</c:v>
                </c:pt>
                <c:pt idx="6">
                  <c:v>0.42</c:v>
                </c:pt>
              </c:numCache>
            </c:numRef>
          </c:val>
        </c:ser>
        <c:gapWidth val="60"/>
        <c:overlap val="100"/>
        <c:axId val="95446734"/>
        <c:axId val="92945377"/>
      </c:barChart>
      <c:catAx>
        <c:axId val="95446734"/>
        <c:scaling>
          <c:orientation val="maxMin"/>
        </c:scaling>
        <c:delete val="0"/>
        <c:axPos val="b"/>
        <c:numFmt formatCode="General" sourceLinked="0"/>
        <c:majorTickMark val="none"/>
        <c:minorTickMark val="none"/>
        <c:tickLblPos val="nextTo"/>
        <c:spPr>
          <a:ln w="6480">
            <a:solidFill>
              <a:srgbClr val="8b8b8b"/>
            </a:solidFill>
            <a:round/>
          </a:ln>
        </c:spPr>
        <c:txPr>
          <a:bodyPr/>
          <a:lstStyle/>
          <a:p>
            <a:pPr>
              <a:defRPr b="0" sz="1000" spc="-1" strike="noStrike">
                <a:solidFill>
                  <a:srgbClr val="000000"/>
                </a:solidFill>
                <a:latin typeface="Calibri"/>
                <a:ea typeface="Calibri"/>
              </a:defRPr>
            </a:pPr>
          </a:p>
        </c:txPr>
        <c:crossAx val="92945377"/>
        <c:crosses val="autoZero"/>
        <c:auto val="1"/>
        <c:lblAlgn val="ctr"/>
        <c:lblOffset val="100"/>
        <c:noMultiLvlLbl val="0"/>
      </c:catAx>
      <c:valAx>
        <c:axId val="92945377"/>
        <c:scaling>
          <c:orientation val="minMax"/>
        </c:scaling>
        <c:delete val="0"/>
        <c:axPos val="l"/>
        <c:numFmt formatCode="0%" sourceLinked="0"/>
        <c:majorTickMark val="none"/>
        <c:minorTickMark val="none"/>
        <c:tickLblPos val="nextTo"/>
        <c:spPr>
          <a:ln w="6480">
            <a:solidFill>
              <a:srgbClr val="8b8b8b"/>
            </a:solidFill>
            <a:round/>
          </a:ln>
        </c:spPr>
        <c:txPr>
          <a:bodyPr/>
          <a:lstStyle/>
          <a:p>
            <a:pPr>
              <a:defRPr b="0" sz="1000" spc="-1" strike="noStrike">
                <a:solidFill>
                  <a:srgbClr val="000000"/>
                </a:solidFill>
                <a:latin typeface="Calibri"/>
                <a:ea typeface="Calibri"/>
              </a:defRPr>
            </a:pPr>
          </a:p>
        </c:txPr>
        <c:crossAx val="95446734"/>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ea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ea typeface="Calibri"/>
              </a:defRPr>
            </a:pPr>
            <a:r>
              <a:rPr b="1" sz="1800" spc="-1" strike="noStrike">
                <a:solidFill>
                  <a:srgbClr val="000000"/>
                </a:solidFill>
                <a:latin typeface="Calibri"/>
                <a:ea typeface="Calibri"/>
              </a:rPr>
              <a:t>Estado de las acciones del plan por programa</a:t>
            </a:r>
          </a:p>
        </c:rich>
      </c:tx>
      <c:overlay val="0"/>
      <c:spPr>
        <a:noFill/>
        <a:ln w="0">
          <a:noFill/>
        </a:ln>
      </c:spPr>
    </c:title>
    <c:autoTitleDeleted val="0"/>
    <c:plotArea>
      <c:barChart>
        <c:barDir val="col"/>
        <c:grouping val="stacked"/>
        <c:varyColors val="0"/>
        <c:ser>
          <c:idx val="0"/>
          <c:order val="0"/>
          <c:tx>
            <c:strRef>
              <c:f>Análisis!E5</c:f>
              <c:strCache>
                <c:ptCount val="1"/>
                <c:pt idx="0">
                  <c:v>Cumplidas</c:v>
                </c:pt>
              </c:strCache>
            </c:strRef>
          </c:tx>
          <c:spPr>
            <a:solidFill>
              <a:srgbClr val="2e7d5b"/>
            </a:solidFill>
            <a:ln w="6480">
              <a:solidFill>
                <a:srgbClr val="2e7d5b"/>
              </a:solidFill>
              <a:round/>
            </a:ln>
          </c:spPr>
          <c:invertIfNegative val="0"/>
          <c:dLbls>
            <c:numFmt formatCode="0;\-0;;" sourceLinked="1"/>
            <c:txPr>
              <a:bodyPr wrap="square"/>
              <a:lstStyle/>
              <a:p>
                <a:pPr>
                  <a:defRPr b="0" sz="1000" spc="-1" strike="noStrike">
                    <a:solidFill>
                      <a:srgbClr val="000000"/>
                    </a:solidFill>
                    <a:latin typeface="Calibri"/>
                    <a:ea typeface="Calibri"/>
                  </a:defRPr>
                </a:pPr>
              </a:p>
            </c:txPr>
            <c:dLblPos val="ctr"/>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Análisis!$A$6:$A$11</c:f>
              <c:strCache>
                <c:ptCount val="6"/>
                <c:pt idx="0">
                  <c:v>P1 Investigación-desarrollo</c:v>
                </c:pt>
                <c:pt idx="1">
                  <c:v>P2 Formación</c:v>
                </c:pt>
                <c:pt idx="2">
                  <c:v>P3 Circulación del conocimiento</c:v>
                </c:pt>
                <c:pt idx="3">
                  <c:v>P4 Transformación digital</c:v>
                </c:pt>
                <c:pt idx="4">
                  <c:v>P5 Planeación y CEA</c:v>
                </c:pt>
                <c:pt idx="5">
                  <c:v>P6 Talento humano</c:v>
                </c:pt>
              </c:strCache>
            </c:strRef>
          </c:cat>
          <c:val>
            <c:numRef>
              <c:f>Análisis!$E$6:$E$11</c:f>
              <c:numCache>
                <c:formatCode>General</c:formatCode>
                <c:ptCount val="6"/>
                <c:pt idx="0">
                  <c:v>0</c:v>
                </c:pt>
                <c:pt idx="1">
                  <c:v>0</c:v>
                </c:pt>
                <c:pt idx="2">
                  <c:v>0</c:v>
                </c:pt>
                <c:pt idx="3">
                  <c:v>0</c:v>
                </c:pt>
                <c:pt idx="4">
                  <c:v>0</c:v>
                </c:pt>
                <c:pt idx="5">
                  <c:v>0</c:v>
                </c:pt>
              </c:numCache>
            </c:numRef>
          </c:val>
        </c:ser>
        <c:ser>
          <c:idx val="1"/>
          <c:order val="1"/>
          <c:tx>
            <c:strRef>
              <c:f>Análisis!F5</c:f>
              <c:strCache>
                <c:ptCount val="1"/>
                <c:pt idx="0">
                  <c:v>En curso</c:v>
                </c:pt>
              </c:strCache>
            </c:strRef>
          </c:tx>
          <c:spPr>
            <a:solidFill>
              <a:srgbClr val="c98a12"/>
            </a:solidFill>
            <a:ln w="6480">
              <a:solidFill>
                <a:srgbClr val="c98a12"/>
              </a:solidFill>
              <a:round/>
            </a:ln>
          </c:spPr>
          <c:invertIfNegative val="0"/>
          <c:dLbls>
            <c:numFmt formatCode="0;\-0;;" sourceLinked="1"/>
            <c:txPr>
              <a:bodyPr wrap="square"/>
              <a:lstStyle/>
              <a:p>
                <a:pPr>
                  <a:defRPr b="0" sz="1000" spc="-1" strike="noStrike">
                    <a:solidFill>
                      <a:srgbClr val="000000"/>
                    </a:solidFill>
                    <a:latin typeface="Calibri"/>
                    <a:ea typeface="Calibri"/>
                  </a:defRPr>
                </a:pPr>
              </a:p>
            </c:txPr>
            <c:dLblPos val="ctr"/>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Análisis!$A$6:$A$11</c:f>
              <c:strCache>
                <c:ptCount val="6"/>
                <c:pt idx="0">
                  <c:v>P1 Investigación-desarrollo</c:v>
                </c:pt>
                <c:pt idx="1">
                  <c:v>P2 Formación</c:v>
                </c:pt>
                <c:pt idx="2">
                  <c:v>P3 Circulación del conocimiento</c:v>
                </c:pt>
                <c:pt idx="3">
                  <c:v>P4 Transformación digital</c:v>
                </c:pt>
                <c:pt idx="4">
                  <c:v>P5 Planeación y CEA</c:v>
                </c:pt>
                <c:pt idx="5">
                  <c:v>P6 Talento humano</c:v>
                </c:pt>
              </c:strCache>
            </c:strRef>
          </c:cat>
          <c:val>
            <c:numRef>
              <c:f>Análisis!$F$6:$F$11</c:f>
              <c:numCache>
                <c:formatCode>General</c:formatCode>
                <c:ptCount val="6"/>
                <c:pt idx="0">
                  <c:v>1</c:v>
                </c:pt>
                <c:pt idx="1">
                  <c:v>2</c:v>
                </c:pt>
                <c:pt idx="2">
                  <c:v>3</c:v>
                </c:pt>
                <c:pt idx="3">
                  <c:v>2</c:v>
                </c:pt>
                <c:pt idx="4">
                  <c:v>4</c:v>
                </c:pt>
                <c:pt idx="5">
                  <c:v>5</c:v>
                </c:pt>
              </c:numCache>
            </c:numRef>
          </c:val>
        </c:ser>
        <c:ser>
          <c:idx val="2"/>
          <c:order val="2"/>
          <c:tx>
            <c:strRef>
              <c:f>Análisis!G5</c:f>
              <c:strCache>
                <c:ptCount val="1"/>
                <c:pt idx="0">
                  <c:v>Rezagadas</c:v>
                </c:pt>
              </c:strCache>
            </c:strRef>
          </c:tx>
          <c:spPr>
            <a:solidFill>
              <a:srgbClr val="b8432f"/>
            </a:solidFill>
            <a:ln w="6480">
              <a:solidFill>
                <a:srgbClr val="b8432f"/>
              </a:solidFill>
              <a:round/>
            </a:ln>
          </c:spPr>
          <c:invertIfNegative val="0"/>
          <c:dLbls>
            <c:numFmt formatCode="0;\-0;;" sourceLinked="1"/>
            <c:txPr>
              <a:bodyPr wrap="square"/>
              <a:lstStyle/>
              <a:p>
                <a:pPr>
                  <a:defRPr b="0" sz="1000" spc="-1" strike="noStrike">
                    <a:solidFill>
                      <a:srgbClr val="000000"/>
                    </a:solidFill>
                    <a:latin typeface="Calibri"/>
                    <a:ea typeface="Calibri"/>
                  </a:defRPr>
                </a:pPr>
              </a:p>
            </c:txPr>
            <c:dLblPos val="ctr"/>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Análisis!$A$6:$A$11</c:f>
              <c:strCache>
                <c:ptCount val="6"/>
                <c:pt idx="0">
                  <c:v>P1 Investigación-desarrollo</c:v>
                </c:pt>
                <c:pt idx="1">
                  <c:v>P2 Formación</c:v>
                </c:pt>
                <c:pt idx="2">
                  <c:v>P3 Circulación del conocimiento</c:v>
                </c:pt>
                <c:pt idx="3">
                  <c:v>P4 Transformación digital</c:v>
                </c:pt>
                <c:pt idx="4">
                  <c:v>P5 Planeación y CEA</c:v>
                </c:pt>
                <c:pt idx="5">
                  <c:v>P6 Talento humano</c:v>
                </c:pt>
              </c:strCache>
            </c:strRef>
          </c:cat>
          <c:val>
            <c:numRef>
              <c:f>Análisis!$G$6:$G$11</c:f>
              <c:numCache>
                <c:formatCode>General</c:formatCode>
                <c:ptCount val="6"/>
                <c:pt idx="0">
                  <c:v>1</c:v>
                </c:pt>
                <c:pt idx="1">
                  <c:v>0</c:v>
                </c:pt>
                <c:pt idx="2">
                  <c:v>0</c:v>
                </c:pt>
                <c:pt idx="3">
                  <c:v>3</c:v>
                </c:pt>
                <c:pt idx="4">
                  <c:v>2</c:v>
                </c:pt>
                <c:pt idx="5">
                  <c:v>0</c:v>
                </c:pt>
              </c:numCache>
            </c:numRef>
          </c:val>
        </c:ser>
        <c:ser>
          <c:idx val="3"/>
          <c:order val="3"/>
          <c:tx>
            <c:strRef>
              <c:f>Análisis!H5</c:f>
              <c:strCache>
                <c:ptCount val="1"/>
                <c:pt idx="0">
                  <c:v>Mixtas</c:v>
                </c:pt>
              </c:strCache>
            </c:strRef>
          </c:tx>
          <c:spPr>
            <a:solidFill>
              <a:srgbClr val="8c97a6"/>
            </a:solidFill>
            <a:ln w="6480">
              <a:solidFill>
                <a:srgbClr val="8c97a6"/>
              </a:solidFill>
              <a:round/>
            </a:ln>
          </c:spPr>
          <c:invertIfNegative val="0"/>
          <c:dLbls>
            <c:numFmt formatCode="0;\-0;;" sourceLinked="1"/>
            <c:txPr>
              <a:bodyPr wrap="square"/>
              <a:lstStyle/>
              <a:p>
                <a:pPr>
                  <a:defRPr b="0" sz="1000" spc="-1" strike="noStrike">
                    <a:solidFill>
                      <a:srgbClr val="000000"/>
                    </a:solidFill>
                    <a:latin typeface="Calibri"/>
                    <a:ea typeface="Calibri"/>
                  </a:defRPr>
                </a:pPr>
              </a:p>
            </c:txPr>
            <c:dLblPos val="ctr"/>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Análisis!$A$6:$A$11</c:f>
              <c:strCache>
                <c:ptCount val="6"/>
                <c:pt idx="0">
                  <c:v>P1 Investigación-desarrollo</c:v>
                </c:pt>
                <c:pt idx="1">
                  <c:v>P2 Formación</c:v>
                </c:pt>
                <c:pt idx="2">
                  <c:v>P3 Circulación del conocimiento</c:v>
                </c:pt>
                <c:pt idx="3">
                  <c:v>P4 Transformación digital</c:v>
                </c:pt>
                <c:pt idx="4">
                  <c:v>P5 Planeación y CEA</c:v>
                </c:pt>
                <c:pt idx="5">
                  <c:v>P6 Talento humano</c:v>
                </c:pt>
              </c:strCache>
            </c:strRef>
          </c:cat>
          <c:val>
            <c:numRef>
              <c:f>Análisis!$H$6:$H$11</c:f>
              <c:numCache>
                <c:formatCode>General</c:formatCode>
                <c:ptCount val="6"/>
                <c:pt idx="0">
                  <c:v>1</c:v>
                </c:pt>
                <c:pt idx="1">
                  <c:v>1</c:v>
                </c:pt>
                <c:pt idx="2">
                  <c:v>1</c:v>
                </c:pt>
                <c:pt idx="3">
                  <c:v>1</c:v>
                </c:pt>
                <c:pt idx="4">
                  <c:v>1</c:v>
                </c:pt>
                <c:pt idx="5">
                  <c:v>1</c:v>
                </c:pt>
              </c:numCache>
            </c:numRef>
          </c:val>
        </c:ser>
        <c:gapWidth val="60"/>
        <c:overlap val="100"/>
        <c:axId val="31993539"/>
        <c:axId val="67204147"/>
      </c:barChart>
      <c:catAx>
        <c:axId val="31993539"/>
        <c:scaling>
          <c:orientation val="minMax"/>
        </c:scaling>
        <c:delete val="0"/>
        <c:axPos val="b"/>
        <c:numFmt formatCode="General" sourceLinked="0"/>
        <c:majorTickMark val="none"/>
        <c:minorTickMark val="none"/>
        <c:tickLblPos val="nextTo"/>
        <c:spPr>
          <a:ln w="6480">
            <a:solidFill>
              <a:srgbClr val="8b8b8b"/>
            </a:solidFill>
            <a:round/>
          </a:ln>
        </c:spPr>
        <c:txPr>
          <a:bodyPr/>
          <a:lstStyle/>
          <a:p>
            <a:pPr>
              <a:defRPr b="0" sz="1000" spc="-1" strike="noStrike">
                <a:solidFill>
                  <a:srgbClr val="000000"/>
                </a:solidFill>
                <a:latin typeface="Calibri"/>
                <a:ea typeface="Calibri"/>
              </a:defRPr>
            </a:pPr>
          </a:p>
        </c:txPr>
        <c:crossAx val="67204147"/>
        <c:crosses val="autoZero"/>
        <c:auto val="1"/>
        <c:lblAlgn val="ctr"/>
        <c:lblOffset val="100"/>
        <c:noMultiLvlLbl val="0"/>
      </c:catAx>
      <c:valAx>
        <c:axId val="67204147"/>
        <c:scaling>
          <c:orientation val="minMax"/>
        </c:scaling>
        <c:delete val="0"/>
        <c:axPos val="l"/>
        <c:title>
          <c:tx>
            <c:rich>
              <a:bodyPr rot="-5400000"/>
              <a:lstStyle/>
              <a:p>
                <a:pPr>
                  <a:defRPr b="1" sz="1000" spc="-1" strike="noStrike">
                    <a:solidFill>
                      <a:srgbClr val="000000"/>
                    </a:solidFill>
                    <a:latin typeface="Calibri"/>
                    <a:ea typeface="Calibri"/>
                  </a:defRPr>
                </a:pPr>
                <a:r>
                  <a:rPr b="1" sz="1000" spc="-1" strike="noStrike">
                    <a:solidFill>
                      <a:srgbClr val="000000"/>
                    </a:solidFill>
                    <a:latin typeface="Calibri"/>
                    <a:ea typeface="Calibri"/>
                  </a:rPr>
                  <a:t>Número de acciones</a:t>
                </a:r>
              </a:p>
            </c:rich>
          </c:tx>
          <c:overlay val="0"/>
          <c:spPr>
            <a:noFill/>
            <a:ln w="0">
              <a:noFill/>
            </a:ln>
          </c:spPr>
        </c:title>
        <c:numFmt formatCode="General" sourceLinked="0"/>
        <c:majorTickMark val="none"/>
        <c:minorTickMark val="none"/>
        <c:tickLblPos val="nextTo"/>
        <c:spPr>
          <a:ln w="6480">
            <a:solidFill>
              <a:srgbClr val="8b8b8b"/>
            </a:solidFill>
            <a:round/>
          </a:ln>
        </c:spPr>
        <c:txPr>
          <a:bodyPr/>
          <a:lstStyle/>
          <a:p>
            <a:pPr>
              <a:defRPr b="0" sz="1000" spc="-1" strike="noStrike">
                <a:solidFill>
                  <a:srgbClr val="000000"/>
                </a:solidFill>
                <a:latin typeface="Calibri"/>
                <a:ea typeface="Calibri"/>
              </a:defRPr>
            </a:pPr>
          </a:p>
        </c:txPr>
        <c:crossAx val="31993539"/>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ea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ea typeface="Calibri"/>
              </a:defRPr>
            </a:pPr>
            <a:r>
              <a:rPr b="1" sz="1800" spc="-1" strike="noStrike">
                <a:solidFill>
                  <a:srgbClr val="000000"/>
                </a:solidFill>
                <a:latin typeface="Calibri"/>
                <a:ea typeface="Calibri"/>
              </a:rPr>
              <a:t>Metas del plan por nivel de cumplimiento</a:t>
            </a:r>
          </a:p>
        </c:rich>
      </c:tx>
      <c:overlay val="0"/>
      <c:spPr>
        <a:noFill/>
        <a:ln w="0">
          <a:noFill/>
        </a:ln>
      </c:spPr>
    </c:title>
    <c:autoTitleDeleted val="0"/>
    <c:plotArea>
      <c:barChart>
        <c:barDir val="bar"/>
        <c:grouping val="stacked"/>
        <c:varyColors val="0"/>
        <c:ser>
          <c:idx val="0"/>
          <c:order val="0"/>
          <c:tx>
            <c:strRef>
              <c:f>Análisis!B24</c:f>
              <c:strCache>
                <c:ptCount val="1"/>
                <c:pt idx="0">
                  <c:v>Logradas (90% o más)</c:v>
                </c:pt>
              </c:strCache>
            </c:strRef>
          </c:tx>
          <c:spPr>
            <a:solidFill>
              <a:srgbClr val="1e5e43"/>
            </a:solidFill>
            <a:ln w="6480">
              <a:solidFill>
                <a:srgbClr val="1e5e43"/>
              </a:solidFill>
              <a:round/>
            </a:ln>
          </c:spPr>
          <c:invertIfNegative val="0"/>
          <c:dLbls>
            <c:numFmt formatCode="0;\-0;;" sourceLinked="1"/>
            <c:txPr>
              <a:bodyPr wrap="square"/>
              <a:lstStyle/>
              <a:p>
                <a:pPr>
                  <a:defRPr b="0" sz="1000" spc="-1" strike="noStrike">
                    <a:solidFill>
                      <a:srgbClr val="000000"/>
                    </a:solidFill>
                    <a:latin typeface="Calibri"/>
                    <a:ea typeface="Calibri"/>
                  </a:defRPr>
                </a:pPr>
              </a:p>
            </c:txPr>
            <c:dLblPos val="ctr"/>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Análisis!$A$25:$A$30</c:f>
              <c:strCache>
                <c:ptCount val="6"/>
                <c:pt idx="0">
                  <c:v>P1 Investigación-desarrollo</c:v>
                </c:pt>
                <c:pt idx="1">
                  <c:v>P2 Formación</c:v>
                </c:pt>
                <c:pt idx="2">
                  <c:v>P3 Circulación del conocimiento</c:v>
                </c:pt>
                <c:pt idx="3">
                  <c:v>P4 Transformación digital</c:v>
                </c:pt>
                <c:pt idx="4">
                  <c:v>P5 Planeación y CEA</c:v>
                </c:pt>
                <c:pt idx="5">
                  <c:v>P6 Talento humano</c:v>
                </c:pt>
              </c:strCache>
            </c:strRef>
          </c:cat>
          <c:val>
            <c:numRef>
              <c:f>Análisis!$B$25:$B$30</c:f>
              <c:numCache>
                <c:formatCode>General</c:formatCode>
                <c:ptCount val="6"/>
                <c:pt idx="0">
                  <c:v>4</c:v>
                </c:pt>
                <c:pt idx="1">
                  <c:v>3</c:v>
                </c:pt>
                <c:pt idx="2">
                  <c:v>1</c:v>
                </c:pt>
                <c:pt idx="3">
                  <c:v>4</c:v>
                </c:pt>
                <c:pt idx="4">
                  <c:v>0</c:v>
                </c:pt>
                <c:pt idx="5">
                  <c:v>5</c:v>
                </c:pt>
              </c:numCache>
            </c:numRef>
          </c:val>
        </c:ser>
        <c:ser>
          <c:idx val="1"/>
          <c:order val="1"/>
          <c:tx>
            <c:strRef>
              <c:f>Análisis!C24</c:f>
              <c:strCache>
                <c:ptCount val="1"/>
                <c:pt idx="0">
                  <c:v>Avance alto (70% a 89%)</c:v>
                </c:pt>
              </c:strCache>
            </c:strRef>
          </c:tx>
          <c:spPr>
            <a:solidFill>
              <a:srgbClr val="5ba37f"/>
            </a:solidFill>
            <a:ln w="6480">
              <a:solidFill>
                <a:srgbClr val="5ba37f"/>
              </a:solidFill>
              <a:round/>
            </a:ln>
          </c:spPr>
          <c:invertIfNegative val="0"/>
          <c:dLbls>
            <c:numFmt formatCode="0;\-0;;" sourceLinked="1"/>
            <c:txPr>
              <a:bodyPr wrap="square"/>
              <a:lstStyle/>
              <a:p>
                <a:pPr>
                  <a:defRPr b="0" sz="1000" spc="-1" strike="noStrike">
                    <a:solidFill>
                      <a:srgbClr val="000000"/>
                    </a:solidFill>
                    <a:latin typeface="Calibri"/>
                    <a:ea typeface="Calibri"/>
                  </a:defRPr>
                </a:pPr>
              </a:p>
            </c:txPr>
            <c:dLblPos val="ctr"/>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Análisis!$A$25:$A$30</c:f>
              <c:strCache>
                <c:ptCount val="6"/>
                <c:pt idx="0">
                  <c:v>P1 Investigación-desarrollo</c:v>
                </c:pt>
                <c:pt idx="1">
                  <c:v>P2 Formación</c:v>
                </c:pt>
                <c:pt idx="2">
                  <c:v>P3 Circulación del conocimiento</c:v>
                </c:pt>
                <c:pt idx="3">
                  <c:v>P4 Transformación digital</c:v>
                </c:pt>
                <c:pt idx="4">
                  <c:v>P5 Planeación y CEA</c:v>
                </c:pt>
                <c:pt idx="5">
                  <c:v>P6 Talento humano</c:v>
                </c:pt>
              </c:strCache>
            </c:strRef>
          </c:cat>
          <c:val>
            <c:numRef>
              <c:f>Análisis!$C$25:$C$30</c:f>
              <c:numCache>
                <c:formatCode>General</c:formatCode>
                <c:ptCount val="6"/>
                <c:pt idx="0">
                  <c:v>1</c:v>
                </c:pt>
                <c:pt idx="1">
                  <c:v>8</c:v>
                </c:pt>
                <c:pt idx="2">
                  <c:v>5</c:v>
                </c:pt>
                <c:pt idx="3">
                  <c:v>2</c:v>
                </c:pt>
                <c:pt idx="4">
                  <c:v>3</c:v>
                </c:pt>
                <c:pt idx="5">
                  <c:v>4</c:v>
                </c:pt>
              </c:numCache>
            </c:numRef>
          </c:val>
        </c:ser>
        <c:ser>
          <c:idx val="2"/>
          <c:order val="2"/>
          <c:tx>
            <c:strRef>
              <c:f>Análisis!D24</c:f>
              <c:strCache>
                <c:ptCount val="1"/>
                <c:pt idx="0">
                  <c:v>Avance medio (40% a 69%)</c:v>
                </c:pt>
              </c:strCache>
            </c:strRef>
          </c:tx>
          <c:spPr>
            <a:solidFill>
              <a:srgbClr val="e0b04f"/>
            </a:solidFill>
            <a:ln w="6480">
              <a:solidFill>
                <a:srgbClr val="e0b04f"/>
              </a:solidFill>
              <a:round/>
            </a:ln>
          </c:spPr>
          <c:invertIfNegative val="0"/>
          <c:dLbls>
            <c:numFmt formatCode="0;\-0;;" sourceLinked="1"/>
            <c:txPr>
              <a:bodyPr wrap="square"/>
              <a:lstStyle/>
              <a:p>
                <a:pPr>
                  <a:defRPr b="0" sz="1000" spc="-1" strike="noStrike">
                    <a:solidFill>
                      <a:srgbClr val="000000"/>
                    </a:solidFill>
                    <a:latin typeface="Calibri"/>
                    <a:ea typeface="Calibri"/>
                  </a:defRPr>
                </a:pPr>
              </a:p>
            </c:txPr>
            <c:dLblPos val="ctr"/>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Análisis!$A$25:$A$30</c:f>
              <c:strCache>
                <c:ptCount val="6"/>
                <c:pt idx="0">
                  <c:v>P1 Investigación-desarrollo</c:v>
                </c:pt>
                <c:pt idx="1">
                  <c:v>P2 Formación</c:v>
                </c:pt>
                <c:pt idx="2">
                  <c:v>P3 Circulación del conocimiento</c:v>
                </c:pt>
                <c:pt idx="3">
                  <c:v>P4 Transformación digital</c:v>
                </c:pt>
                <c:pt idx="4">
                  <c:v>P5 Planeación y CEA</c:v>
                </c:pt>
                <c:pt idx="5">
                  <c:v>P6 Talento humano</c:v>
                </c:pt>
              </c:strCache>
            </c:strRef>
          </c:cat>
          <c:val>
            <c:numRef>
              <c:f>Análisis!$D$25:$D$30</c:f>
              <c:numCache>
                <c:formatCode>General</c:formatCode>
                <c:ptCount val="6"/>
                <c:pt idx="0">
                  <c:v>6</c:v>
                </c:pt>
                <c:pt idx="1">
                  <c:v>2</c:v>
                </c:pt>
                <c:pt idx="2">
                  <c:v>8</c:v>
                </c:pt>
                <c:pt idx="3">
                  <c:v>5</c:v>
                </c:pt>
                <c:pt idx="4">
                  <c:v>9</c:v>
                </c:pt>
                <c:pt idx="5">
                  <c:v>1</c:v>
                </c:pt>
              </c:numCache>
            </c:numRef>
          </c:val>
        </c:ser>
        <c:ser>
          <c:idx val="3"/>
          <c:order val="3"/>
          <c:tx>
            <c:strRef>
              <c:f>Análisis!E24</c:f>
              <c:strCache>
                <c:ptCount val="1"/>
                <c:pt idx="0">
                  <c:v>Avance bajo (menos de 40%)</c:v>
                </c:pt>
              </c:strCache>
            </c:strRef>
          </c:tx>
          <c:spPr>
            <a:solidFill>
              <a:srgbClr val="c0503a"/>
            </a:solidFill>
            <a:ln w="6480">
              <a:solidFill>
                <a:srgbClr val="c0503a"/>
              </a:solidFill>
              <a:round/>
            </a:ln>
          </c:spPr>
          <c:invertIfNegative val="0"/>
          <c:dLbls>
            <c:numFmt formatCode="0;\-0;;" sourceLinked="1"/>
            <c:txPr>
              <a:bodyPr wrap="square"/>
              <a:lstStyle/>
              <a:p>
                <a:pPr>
                  <a:defRPr b="0" sz="1000" spc="-1" strike="noStrike">
                    <a:solidFill>
                      <a:srgbClr val="000000"/>
                    </a:solidFill>
                    <a:latin typeface="Calibri"/>
                    <a:ea typeface="Calibri"/>
                  </a:defRPr>
                </a:pPr>
              </a:p>
            </c:txPr>
            <c:dLblPos val="ctr"/>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Análisis!$A$25:$A$30</c:f>
              <c:strCache>
                <c:ptCount val="6"/>
                <c:pt idx="0">
                  <c:v>P1 Investigación-desarrollo</c:v>
                </c:pt>
                <c:pt idx="1">
                  <c:v>P2 Formación</c:v>
                </c:pt>
                <c:pt idx="2">
                  <c:v>P3 Circulación del conocimiento</c:v>
                </c:pt>
                <c:pt idx="3">
                  <c:v>P4 Transformación digital</c:v>
                </c:pt>
                <c:pt idx="4">
                  <c:v>P5 Planeación y CEA</c:v>
                </c:pt>
                <c:pt idx="5">
                  <c:v>P6 Talento humano</c:v>
                </c:pt>
              </c:strCache>
            </c:strRef>
          </c:cat>
          <c:val>
            <c:numRef>
              <c:f>Análisis!$E$25:$E$30</c:f>
              <c:numCache>
                <c:formatCode>General</c:formatCode>
                <c:ptCount val="6"/>
                <c:pt idx="0">
                  <c:v>4</c:v>
                </c:pt>
                <c:pt idx="1">
                  <c:v>0</c:v>
                </c:pt>
                <c:pt idx="2">
                  <c:v>8</c:v>
                </c:pt>
                <c:pt idx="3">
                  <c:v>7</c:v>
                </c:pt>
                <c:pt idx="4">
                  <c:v>5</c:v>
                </c:pt>
                <c:pt idx="5">
                  <c:v>3</c:v>
                </c:pt>
              </c:numCache>
            </c:numRef>
          </c:val>
        </c:ser>
        <c:gapWidth val="60"/>
        <c:overlap val="100"/>
        <c:axId val="95975602"/>
        <c:axId val="890831"/>
      </c:barChart>
      <c:catAx>
        <c:axId val="95975602"/>
        <c:scaling>
          <c:orientation val="maxMin"/>
        </c:scaling>
        <c:delete val="0"/>
        <c:axPos val="b"/>
        <c:numFmt formatCode="General" sourceLinked="0"/>
        <c:majorTickMark val="none"/>
        <c:minorTickMark val="none"/>
        <c:tickLblPos val="nextTo"/>
        <c:spPr>
          <a:ln w="6480">
            <a:solidFill>
              <a:srgbClr val="8b8b8b"/>
            </a:solidFill>
            <a:round/>
          </a:ln>
        </c:spPr>
        <c:txPr>
          <a:bodyPr/>
          <a:lstStyle/>
          <a:p>
            <a:pPr>
              <a:defRPr b="0" sz="1000" spc="-1" strike="noStrike">
                <a:solidFill>
                  <a:srgbClr val="000000"/>
                </a:solidFill>
                <a:latin typeface="Calibri"/>
                <a:ea typeface="Calibri"/>
              </a:defRPr>
            </a:pPr>
          </a:p>
        </c:txPr>
        <c:crossAx val="890831"/>
        <c:crosses val="autoZero"/>
        <c:auto val="1"/>
        <c:lblAlgn val="ctr"/>
        <c:lblOffset val="100"/>
        <c:noMultiLvlLbl val="0"/>
      </c:catAx>
      <c:valAx>
        <c:axId val="890831"/>
        <c:scaling>
          <c:orientation val="minMax"/>
        </c:scaling>
        <c:delete val="0"/>
        <c:axPos val="l"/>
        <c:title>
          <c:tx>
            <c:rich>
              <a:bodyPr rot="0"/>
              <a:lstStyle/>
              <a:p>
                <a:pPr>
                  <a:defRPr b="1" sz="1000" spc="-1" strike="noStrike">
                    <a:solidFill>
                      <a:srgbClr val="000000"/>
                    </a:solidFill>
                    <a:latin typeface="Calibri"/>
                    <a:ea typeface="Calibri"/>
                  </a:defRPr>
                </a:pPr>
                <a:r>
                  <a:rPr b="1" sz="1000" spc="-1" strike="noStrike">
                    <a:solidFill>
                      <a:srgbClr val="000000"/>
                    </a:solidFill>
                    <a:latin typeface="Calibri"/>
                    <a:ea typeface="Calibri"/>
                  </a:rPr>
                  <a:t>Número de metas</a:t>
                </a:r>
              </a:p>
            </c:rich>
          </c:tx>
          <c:overlay val="0"/>
          <c:spPr>
            <a:noFill/>
            <a:ln w="0">
              <a:noFill/>
            </a:ln>
          </c:spPr>
        </c:title>
        <c:numFmt formatCode="General" sourceLinked="0"/>
        <c:majorTickMark val="none"/>
        <c:minorTickMark val="none"/>
        <c:tickLblPos val="nextTo"/>
        <c:spPr>
          <a:ln w="6480">
            <a:solidFill>
              <a:srgbClr val="8b8b8b"/>
            </a:solidFill>
            <a:round/>
          </a:ln>
        </c:spPr>
        <c:txPr>
          <a:bodyPr/>
          <a:lstStyle/>
          <a:p>
            <a:pPr>
              <a:defRPr b="0" sz="1000" spc="-1" strike="noStrike">
                <a:solidFill>
                  <a:srgbClr val="000000"/>
                </a:solidFill>
                <a:latin typeface="Calibri"/>
                <a:ea typeface="Calibri"/>
              </a:defRPr>
            </a:pPr>
          </a:p>
        </c:txPr>
        <c:crossAx val="95975602"/>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ea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ea typeface="Calibri"/>
              </a:defRPr>
            </a:pPr>
            <a:r>
              <a:rPr b="1" sz="1800" spc="-1" strike="noStrike">
                <a:solidFill>
                  <a:srgbClr val="000000"/>
                </a:solidFill>
                <a:latin typeface="Calibri"/>
                <a:ea typeface="Calibri"/>
              </a:rPr>
              <a:t>Metas priorizadas frente a no priorizadas</a:t>
            </a:r>
          </a:p>
        </c:rich>
      </c:tx>
      <c:overlay val="0"/>
      <c:spPr>
        <a:noFill/>
        <a:ln w="0">
          <a:noFill/>
        </a:ln>
      </c:spPr>
    </c:title>
    <c:autoTitleDeleted val="0"/>
    <c:plotArea>
      <c:barChart>
        <c:barDir val="bar"/>
        <c:grouping val="clustered"/>
        <c:varyColors val="0"/>
        <c:ser>
          <c:idx val="0"/>
          <c:order val="0"/>
          <c:tx>
            <c:strRef>
              <c:f>Análisis!B34</c:f>
              <c:strCache>
                <c:ptCount val="1"/>
                <c:pt idx="0">
                  <c:v>Metas priorizadas</c:v>
                </c:pt>
              </c:strCache>
            </c:strRef>
          </c:tx>
          <c:spPr>
            <a:solidFill>
              <a:srgbClr val="2f5fa8"/>
            </a:solidFill>
            <a:ln w="6480">
              <a:solidFill>
                <a:srgbClr val="2f5fa8"/>
              </a:solidFill>
              <a:round/>
            </a:ln>
          </c:spPr>
          <c:invertIfNegative val="0"/>
          <c:dLbls>
            <c:numFmt formatCode="0%" sourceLinked="1"/>
            <c:txPr>
              <a:bodyPr wrap="square"/>
              <a:lstStyle/>
              <a:p>
                <a:pPr>
                  <a:defRPr b="0" sz="1000" spc="-1" strike="noStrike">
                    <a:solidFill>
                      <a:srgbClr val="000000"/>
                    </a:solidFill>
                    <a:latin typeface="Calibri"/>
                    <a:ea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Análisis!$A$35:$A$41</c:f>
              <c:strCache>
                <c:ptCount val="7"/>
                <c:pt idx="0">
                  <c:v>P1 Investigación-desarrollo</c:v>
                </c:pt>
                <c:pt idx="1">
                  <c:v>P2 Formación</c:v>
                </c:pt>
                <c:pt idx="2">
                  <c:v>P3 Circulación del conocimiento</c:v>
                </c:pt>
                <c:pt idx="3">
                  <c:v>P4 Transformación digital</c:v>
                </c:pt>
                <c:pt idx="4">
                  <c:v>P5 Planeación y CEA</c:v>
                </c:pt>
                <c:pt idx="5">
                  <c:v>P6 Talento humano</c:v>
                </c:pt>
                <c:pt idx="6">
                  <c:v>Plan (P1 a P6)</c:v>
                </c:pt>
              </c:strCache>
            </c:strRef>
          </c:cat>
          <c:val>
            <c:numRef>
              <c:f>Análisis!$B$35:$B$41</c:f>
              <c:numCache>
                <c:formatCode>0%</c:formatCode>
                <c:ptCount val="7"/>
                <c:pt idx="0">
                  <c:v>0.65</c:v>
                </c:pt>
                <c:pt idx="1">
                  <c:v>0.805</c:v>
                </c:pt>
                <c:pt idx="2">
                  <c:v>0.502380952380952</c:v>
                </c:pt>
                <c:pt idx="3">
                  <c:v>0.577692307692308</c:v>
                </c:pt>
                <c:pt idx="4">
                  <c:v>0.625</c:v>
                </c:pt>
                <c:pt idx="5">
                  <c:v>0.720833333333333</c:v>
                </c:pt>
                <c:pt idx="6">
                  <c:v>0.625479452054795</c:v>
                </c:pt>
              </c:numCache>
            </c:numRef>
          </c:val>
        </c:ser>
        <c:ser>
          <c:idx val="1"/>
          <c:order val="1"/>
          <c:tx>
            <c:strRef>
              <c:f>Análisis!C34</c:f>
              <c:strCache>
                <c:ptCount val="1"/>
                <c:pt idx="0">
                  <c:v>Metas no priorizadas</c:v>
                </c:pt>
              </c:strCache>
            </c:strRef>
          </c:tx>
          <c:spPr>
            <a:solidFill>
              <a:srgbClr val="b4bcc8"/>
            </a:solidFill>
            <a:ln w="6480">
              <a:solidFill>
                <a:srgbClr val="b4bcc8"/>
              </a:solidFill>
              <a:round/>
            </a:ln>
          </c:spPr>
          <c:invertIfNegative val="0"/>
          <c:dLbls>
            <c:numFmt formatCode="0%" sourceLinked="1"/>
            <c:txPr>
              <a:bodyPr wrap="square"/>
              <a:lstStyle/>
              <a:p>
                <a:pPr>
                  <a:defRPr b="0" sz="1000" spc="-1" strike="noStrike">
                    <a:solidFill>
                      <a:srgbClr val="000000"/>
                    </a:solidFill>
                    <a:latin typeface="Calibri"/>
                    <a:ea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Análisis!$A$35:$A$41</c:f>
              <c:strCache>
                <c:ptCount val="7"/>
                <c:pt idx="0">
                  <c:v>P1 Investigación-desarrollo</c:v>
                </c:pt>
                <c:pt idx="1">
                  <c:v>P2 Formación</c:v>
                </c:pt>
                <c:pt idx="2">
                  <c:v>P3 Circulación del conocimiento</c:v>
                </c:pt>
                <c:pt idx="3">
                  <c:v>P4 Transformación digital</c:v>
                </c:pt>
                <c:pt idx="4">
                  <c:v>P5 Planeación y CEA</c:v>
                </c:pt>
                <c:pt idx="5">
                  <c:v>P6 Talento humano</c:v>
                </c:pt>
                <c:pt idx="6">
                  <c:v>Plan (P1 a P6)</c:v>
                </c:pt>
              </c:strCache>
            </c:strRef>
          </c:cat>
          <c:val>
            <c:numRef>
              <c:f>Análisis!$C$35:$C$41</c:f>
              <c:numCache>
                <c:formatCode>0%</c:formatCode>
                <c:ptCount val="7"/>
                <c:pt idx="0">
                  <c:v>0.425</c:v>
                </c:pt>
                <c:pt idx="1">
                  <c:v>0.7</c:v>
                </c:pt>
                <c:pt idx="2">
                  <c:v>0.25</c:v>
                </c:pt>
                <c:pt idx="3">
                  <c:v>0.26</c:v>
                </c:pt>
                <c:pt idx="4">
                  <c:v>0.345454545454545</c:v>
                </c:pt>
                <c:pt idx="5">
                  <c:v>0.3</c:v>
                </c:pt>
                <c:pt idx="6">
                  <c:v>0.378</c:v>
                </c:pt>
              </c:numCache>
            </c:numRef>
          </c:val>
        </c:ser>
        <c:gapWidth val="60"/>
        <c:overlap val="0"/>
        <c:axId val="29531806"/>
        <c:axId val="25715590"/>
      </c:barChart>
      <c:catAx>
        <c:axId val="29531806"/>
        <c:scaling>
          <c:orientation val="maxMin"/>
        </c:scaling>
        <c:delete val="0"/>
        <c:axPos val="b"/>
        <c:numFmt formatCode="General" sourceLinked="0"/>
        <c:majorTickMark val="none"/>
        <c:minorTickMark val="none"/>
        <c:tickLblPos val="nextTo"/>
        <c:spPr>
          <a:ln w="6480">
            <a:solidFill>
              <a:srgbClr val="8b8b8b"/>
            </a:solidFill>
            <a:round/>
          </a:ln>
        </c:spPr>
        <c:txPr>
          <a:bodyPr/>
          <a:lstStyle/>
          <a:p>
            <a:pPr>
              <a:defRPr b="0" sz="1000" spc="-1" strike="noStrike">
                <a:solidFill>
                  <a:srgbClr val="000000"/>
                </a:solidFill>
                <a:latin typeface="Calibri"/>
                <a:ea typeface="Calibri"/>
              </a:defRPr>
            </a:pPr>
          </a:p>
        </c:txPr>
        <c:crossAx val="25715590"/>
        <c:crosses val="autoZero"/>
        <c:auto val="1"/>
        <c:lblAlgn val="ctr"/>
        <c:lblOffset val="100"/>
        <c:noMultiLvlLbl val="0"/>
      </c:catAx>
      <c:valAx>
        <c:axId val="25715590"/>
        <c:scaling>
          <c:orientation val="minMax"/>
          <c:max val="1"/>
          <c:min val="0"/>
        </c:scaling>
        <c:delete val="0"/>
        <c:axPos val="l"/>
        <c:numFmt formatCode="0%" sourceLinked="0"/>
        <c:majorTickMark val="none"/>
        <c:minorTickMark val="none"/>
        <c:tickLblPos val="nextTo"/>
        <c:spPr>
          <a:ln w="6480">
            <a:solidFill>
              <a:srgbClr val="8b8b8b"/>
            </a:solidFill>
            <a:round/>
          </a:ln>
        </c:spPr>
        <c:txPr>
          <a:bodyPr/>
          <a:lstStyle/>
          <a:p>
            <a:pPr>
              <a:defRPr b="0" sz="1000" spc="-1" strike="noStrike">
                <a:solidFill>
                  <a:srgbClr val="000000"/>
                </a:solidFill>
                <a:latin typeface="Calibri"/>
                <a:ea typeface="Calibri"/>
              </a:defRPr>
            </a:pPr>
          </a:p>
        </c:txPr>
        <c:crossAx val="29531806"/>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ea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ea typeface="Calibri"/>
              </a:defRPr>
            </a:pPr>
            <a:r>
              <a:rPr b="1" sz="1800" spc="-1" strike="noStrike">
                <a:solidFill>
                  <a:srgbClr val="000000"/>
                </a:solidFill>
                <a:latin typeface="Calibri"/>
                <a:ea typeface="Calibri"/>
              </a:rPr>
              <a:t>Avance por acción del plan, de mayor a menor</a:t>
            </a:r>
          </a:p>
        </c:rich>
      </c:tx>
      <c:overlay val="0"/>
      <c:spPr>
        <a:noFill/>
        <a:ln w="0">
          <a:noFill/>
        </a:ln>
      </c:spPr>
    </c:title>
    <c:autoTitleDeleted val="0"/>
    <c:plotArea>
      <c:barChart>
        <c:barDir val="bar"/>
        <c:grouping val="clustered"/>
        <c:varyColors val="0"/>
        <c:ser>
          <c:idx val="0"/>
          <c:order val="0"/>
          <c:tx>
            <c:strRef>
              <c:f>Análisis!C45</c:f>
              <c:strCache>
                <c:ptCount val="1"/>
                <c:pt idx="0">
                  <c:v>Avance</c:v>
                </c:pt>
              </c:strCache>
            </c:strRef>
          </c:tx>
          <c:spPr>
            <a:solidFill>
              <a:srgbClr val="2f5fa8"/>
            </a:solidFill>
            <a:ln w="6480">
              <a:solidFill>
                <a:srgbClr val="2f5fa8"/>
              </a:solidFill>
              <a:round/>
            </a:ln>
          </c:spPr>
          <c:invertIfNegative val="0"/>
          <c:dLbls>
            <c:numFmt formatCode="0%" sourceLinked="1"/>
            <c:txPr>
              <a:bodyPr wrap="square"/>
              <a:lstStyle/>
              <a:p>
                <a:pPr>
                  <a:defRPr b="0" sz="1000" spc="-1" strike="noStrike">
                    <a:solidFill>
                      <a:srgbClr val="000000"/>
                    </a:solidFill>
                    <a:latin typeface="Calibri"/>
                    <a:ea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Análisis!$B$46:$B$74</c:f>
              <c:strCache>
                <c:ptCount val="29"/>
                <c:pt idx="0">
                  <c:v>P4 · A2 Infraestructura tecnológica</c:v>
                </c:pt>
                <c:pt idx="1">
                  <c:v>P6 · A2 SG-SST</c:v>
                </c:pt>
                <c:pt idx="2">
                  <c:v>P2 · A3 Sostenibilidad de los programas</c:v>
                </c:pt>
                <c:pt idx="3">
                  <c:v>P6 · A5 Política salarial</c:v>
                </c:pt>
                <c:pt idx="4">
                  <c:v>P6 · A4 Selección y vinculación</c:v>
                </c:pt>
                <c:pt idx="5">
                  <c:v>P2 · A2 Aseguramiento de la calidad</c:v>
                </c:pt>
                <c:pt idx="6">
                  <c:v>P4 · A1 Transformación digital</c:v>
                </c:pt>
                <c:pt idx="7">
                  <c:v>P1 · A1 Grupos y líneas de investigación</c:v>
                </c:pt>
                <c:pt idx="8">
                  <c:v>P2 · A1 Nueva oferta de formación avanzada y continua</c:v>
                </c:pt>
                <c:pt idx="9">
                  <c:v>P6 · A1 Bienestar, reconocimiento e incentivos</c:v>
                </c:pt>
                <c:pt idx="10">
                  <c:v>P5 · A2 Gestión de recursos y alianzas</c:v>
                </c:pt>
                <c:pt idx="11">
                  <c:v>P4 · A3 Plataforma digital (Ékora)</c:v>
                </c:pt>
                <c:pt idx="12">
                  <c:v>P3 · A3 Línea editorial</c:v>
                </c:pt>
                <c:pt idx="13">
                  <c:v>P1 · A2 Co-creación de programas y proyectos</c:v>
                </c:pt>
                <c:pt idx="14">
                  <c:v>P3 · A1 Comunicación estratégica</c:v>
                </c:pt>
                <c:pt idx="15">
                  <c:v>P6 · A3 Modelo por competencias</c:v>
                </c:pt>
                <c:pt idx="16">
                  <c:v>P5 · A4 Escalamiento del modelo y nuevos centros</c:v>
                </c:pt>
                <c:pt idx="17">
                  <c:v>P5 · A3 CEANJ</c:v>
                </c:pt>
                <c:pt idx="18">
                  <c:v>P5 · A1 Autoevaluación y reconocimiento ante Minciencias</c:v>
                </c:pt>
                <c:pt idx="19">
                  <c:v>P5 · A6 Portafolio institucional</c:v>
                </c:pt>
                <c:pt idx="20">
                  <c:v>P3 · A4 Redes, eventos y movilidades</c:v>
                </c:pt>
                <c:pt idx="21">
                  <c:v>P3 · A2 Comunicación para el desarrollo</c:v>
                </c:pt>
                <c:pt idx="22">
                  <c:v>P5 · A5 Procesos con la metodología MEGA</c:v>
                </c:pt>
                <c:pt idx="23">
                  <c:v>P1 · A3 Semilleros y jóvenes investigadores</c:v>
                </c:pt>
                <c:pt idx="24">
                  <c:v>P6 · A6 Modelo de arrendamiento</c:v>
                </c:pt>
                <c:pt idx="25">
                  <c:v>P4 · A5 Metodologías lúdicas en lo digital</c:v>
                </c:pt>
                <c:pt idx="26">
                  <c:v>P5 · A7 Composición de los ingresos</c:v>
                </c:pt>
                <c:pt idx="27">
                  <c:v>P4 · A4 Modelo pedagógico digital</c:v>
                </c:pt>
                <c:pt idx="28">
                  <c:v>P4 · A6 Escuela Digital internacional</c:v>
                </c:pt>
              </c:strCache>
            </c:strRef>
          </c:cat>
          <c:val>
            <c:numRef>
              <c:f>Análisis!$C$46:$C$74</c:f>
              <c:numCache>
                <c:formatCode>0%</c:formatCode>
                <c:ptCount val="29"/>
                <c:pt idx="0">
                  <c:v>0.9</c:v>
                </c:pt>
                <c:pt idx="1">
                  <c:v>0.88</c:v>
                </c:pt>
                <c:pt idx="2">
                  <c:v>0.83</c:v>
                </c:pt>
                <c:pt idx="3">
                  <c:v>0.8</c:v>
                </c:pt>
                <c:pt idx="4">
                  <c:v>0.8</c:v>
                </c:pt>
                <c:pt idx="5">
                  <c:v>0.79</c:v>
                </c:pt>
                <c:pt idx="6">
                  <c:v>0.78</c:v>
                </c:pt>
                <c:pt idx="7">
                  <c:v>0.75</c:v>
                </c:pt>
                <c:pt idx="8">
                  <c:v>0.74</c:v>
                </c:pt>
                <c:pt idx="9">
                  <c:v>0.72</c:v>
                </c:pt>
                <c:pt idx="10">
                  <c:v>0.6</c:v>
                </c:pt>
                <c:pt idx="11">
                  <c:v>0.6</c:v>
                </c:pt>
                <c:pt idx="12">
                  <c:v>0.59</c:v>
                </c:pt>
                <c:pt idx="13">
                  <c:v>0.57</c:v>
                </c:pt>
                <c:pt idx="14">
                  <c:v>0.51</c:v>
                </c:pt>
                <c:pt idx="15">
                  <c:v>0.5</c:v>
                </c:pt>
                <c:pt idx="16">
                  <c:v>0.5</c:v>
                </c:pt>
                <c:pt idx="17">
                  <c:v>0.48</c:v>
                </c:pt>
                <c:pt idx="18">
                  <c:v>0.47</c:v>
                </c:pt>
                <c:pt idx="19">
                  <c:v>0.45</c:v>
                </c:pt>
                <c:pt idx="20">
                  <c:v>0.42</c:v>
                </c:pt>
                <c:pt idx="21">
                  <c:v>0.42</c:v>
                </c:pt>
                <c:pt idx="22">
                  <c:v>0.4</c:v>
                </c:pt>
                <c:pt idx="23">
                  <c:v>0.38</c:v>
                </c:pt>
                <c:pt idx="24">
                  <c:v>0.35</c:v>
                </c:pt>
                <c:pt idx="25">
                  <c:v>0.32</c:v>
                </c:pt>
                <c:pt idx="26">
                  <c:v>0.3</c:v>
                </c:pt>
                <c:pt idx="27">
                  <c:v>0.29</c:v>
                </c:pt>
                <c:pt idx="28">
                  <c:v>0.1</c:v>
                </c:pt>
              </c:numCache>
            </c:numRef>
          </c:val>
        </c:ser>
        <c:gapWidth val="40"/>
        <c:overlap val="0"/>
        <c:axId val="94281225"/>
        <c:axId val="2431240"/>
      </c:barChart>
      <c:catAx>
        <c:axId val="94281225"/>
        <c:scaling>
          <c:orientation val="maxMin"/>
        </c:scaling>
        <c:delete val="0"/>
        <c:axPos val="b"/>
        <c:numFmt formatCode="General" sourceLinked="0"/>
        <c:majorTickMark val="none"/>
        <c:minorTickMark val="none"/>
        <c:tickLblPos val="nextTo"/>
        <c:spPr>
          <a:ln w="6480">
            <a:solidFill>
              <a:srgbClr val="8b8b8b"/>
            </a:solidFill>
            <a:round/>
          </a:ln>
        </c:spPr>
        <c:txPr>
          <a:bodyPr/>
          <a:lstStyle/>
          <a:p>
            <a:pPr>
              <a:defRPr b="0" sz="1000" spc="-1" strike="noStrike">
                <a:solidFill>
                  <a:srgbClr val="000000"/>
                </a:solidFill>
                <a:latin typeface="Calibri"/>
                <a:ea typeface="Calibri"/>
              </a:defRPr>
            </a:pPr>
          </a:p>
        </c:txPr>
        <c:crossAx val="2431240"/>
        <c:crosses val="autoZero"/>
        <c:auto val="1"/>
        <c:lblAlgn val="ctr"/>
        <c:lblOffset val="100"/>
        <c:noMultiLvlLbl val="0"/>
      </c:catAx>
      <c:valAx>
        <c:axId val="2431240"/>
        <c:scaling>
          <c:orientation val="minMax"/>
          <c:max val="1"/>
          <c:min val="0"/>
        </c:scaling>
        <c:delete val="0"/>
        <c:axPos val="l"/>
        <c:numFmt formatCode="0%" sourceLinked="0"/>
        <c:majorTickMark val="none"/>
        <c:minorTickMark val="none"/>
        <c:tickLblPos val="nextTo"/>
        <c:spPr>
          <a:ln w="6480">
            <a:solidFill>
              <a:srgbClr val="8b8b8b"/>
            </a:solidFill>
            <a:round/>
          </a:ln>
        </c:spPr>
        <c:txPr>
          <a:bodyPr/>
          <a:lstStyle/>
          <a:p>
            <a:pPr>
              <a:defRPr b="0" sz="1000" spc="-1" strike="noStrike">
                <a:solidFill>
                  <a:srgbClr val="000000"/>
                </a:solidFill>
                <a:latin typeface="Calibri"/>
                <a:ea typeface="Calibri"/>
              </a:defRPr>
            </a:pPr>
          </a:p>
        </c:txPr>
        <c:crossAx val="94281225"/>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11</xdr:row>
      <xdr:rowOff>10800</xdr:rowOff>
    </xdr:from>
    <xdr:to>
      <xdr:col>7</xdr:col>
      <xdr:colOff>690480</xdr:colOff>
      <xdr:row>28</xdr:row>
      <xdr:rowOff>10080</xdr:rowOff>
    </xdr:to>
    <xdr:graphicFrame>
      <xdr:nvGraphicFramePr>
        <xdr:cNvPr id="0" name="Chart 1"/>
        <xdr:cNvGraphicFramePr/>
      </xdr:nvGraphicFramePr>
      <xdr:xfrm>
        <a:off x="0" y="2277720"/>
        <a:ext cx="6117840" cy="32378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0</xdr:colOff>
      <xdr:row>11</xdr:row>
      <xdr:rowOff>10800</xdr:rowOff>
    </xdr:from>
    <xdr:to>
      <xdr:col>17</xdr:col>
      <xdr:colOff>690480</xdr:colOff>
      <xdr:row>28</xdr:row>
      <xdr:rowOff>10080</xdr:rowOff>
    </xdr:to>
    <xdr:graphicFrame>
      <xdr:nvGraphicFramePr>
        <xdr:cNvPr id="1" name="Chart 2"/>
        <xdr:cNvGraphicFramePr/>
      </xdr:nvGraphicFramePr>
      <xdr:xfrm>
        <a:off x="7753320" y="2277720"/>
        <a:ext cx="6117840" cy="32378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30</xdr:row>
      <xdr:rowOff>10800</xdr:rowOff>
    </xdr:from>
    <xdr:to>
      <xdr:col>7</xdr:col>
      <xdr:colOff>690480</xdr:colOff>
      <xdr:row>47</xdr:row>
      <xdr:rowOff>10080</xdr:rowOff>
    </xdr:to>
    <xdr:graphicFrame>
      <xdr:nvGraphicFramePr>
        <xdr:cNvPr id="2" name="Chart 3"/>
        <xdr:cNvGraphicFramePr/>
      </xdr:nvGraphicFramePr>
      <xdr:xfrm>
        <a:off x="0" y="5897160"/>
        <a:ext cx="6117840" cy="32378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0</xdr:colOff>
      <xdr:row>30</xdr:row>
      <xdr:rowOff>10800</xdr:rowOff>
    </xdr:from>
    <xdr:to>
      <xdr:col>17</xdr:col>
      <xdr:colOff>690480</xdr:colOff>
      <xdr:row>47</xdr:row>
      <xdr:rowOff>10080</xdr:rowOff>
    </xdr:to>
    <xdr:graphicFrame>
      <xdr:nvGraphicFramePr>
        <xdr:cNvPr id="3" name="Chart 4"/>
        <xdr:cNvGraphicFramePr/>
      </xdr:nvGraphicFramePr>
      <xdr:xfrm>
        <a:off x="7753320" y="5897160"/>
        <a:ext cx="6117840" cy="32378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49</xdr:row>
      <xdr:rowOff>10800</xdr:rowOff>
    </xdr:from>
    <xdr:to>
      <xdr:col>7</xdr:col>
      <xdr:colOff>690480</xdr:colOff>
      <xdr:row>66</xdr:row>
      <xdr:rowOff>10080</xdr:rowOff>
    </xdr:to>
    <xdr:graphicFrame>
      <xdr:nvGraphicFramePr>
        <xdr:cNvPr id="4" name="Chart 5"/>
        <xdr:cNvGraphicFramePr/>
      </xdr:nvGraphicFramePr>
      <xdr:xfrm>
        <a:off x="0" y="9516600"/>
        <a:ext cx="6117840" cy="32378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10</xdr:col>
      <xdr:colOff>0</xdr:colOff>
      <xdr:row>49</xdr:row>
      <xdr:rowOff>10800</xdr:rowOff>
    </xdr:from>
    <xdr:to>
      <xdr:col>17</xdr:col>
      <xdr:colOff>690480</xdr:colOff>
      <xdr:row>84</xdr:row>
      <xdr:rowOff>181080</xdr:rowOff>
    </xdr:to>
    <xdr:graphicFrame>
      <xdr:nvGraphicFramePr>
        <xdr:cNvPr id="5" name="Chart 6"/>
        <xdr:cNvGraphicFramePr/>
      </xdr:nvGraphicFramePr>
      <xdr:xfrm>
        <a:off x="7753320" y="9516600"/>
        <a:ext cx="6117840" cy="683784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 width="140"/>
    <col collapsed="false" customWidth="true" hidden="false" outlineLevel="0" max="26" min="2" style="1" width="8.71"/>
  </cols>
  <sheetData>
    <row r="1" customFormat="false" ht="15" hidden="false" customHeight="true" outlineLevel="0" collapsed="false">
      <c r="A1" s="2" t="s">
        <v>0</v>
      </c>
    </row>
    <row r="2" customFormat="false" ht="15" hidden="false" customHeight="true" outlineLevel="0" collapsed="false">
      <c r="A2" s="3"/>
    </row>
    <row r="3" customFormat="false" ht="15" hidden="false" customHeight="true" outlineLevel="0" collapsed="false">
      <c r="A3" s="3" t="s">
        <v>1</v>
      </c>
    </row>
    <row r="4" customFormat="false" ht="15" hidden="false" customHeight="true" outlineLevel="0" collapsed="false">
      <c r="A4" s="3" t="s">
        <v>2</v>
      </c>
    </row>
    <row r="5" customFormat="false" ht="15" hidden="false" customHeight="true" outlineLevel="0" collapsed="false">
      <c r="A5" s="3" t="s">
        <v>3</v>
      </c>
    </row>
    <row r="6" customFormat="false" ht="15" hidden="false" customHeight="true" outlineLevel="0" collapsed="false">
      <c r="A6" s="3" t="s">
        <v>4</v>
      </c>
    </row>
    <row r="7" customFormat="false" ht="15" hidden="false" customHeight="true" outlineLevel="0" collapsed="false">
      <c r="A7" s="3" t="s">
        <v>5</v>
      </c>
    </row>
    <row r="8" customFormat="false" ht="15" hidden="false" customHeight="true" outlineLevel="0" collapsed="false">
      <c r="A8" s="3" t="s">
        <v>6</v>
      </c>
    </row>
    <row r="9" customFormat="false" ht="15" hidden="false" customHeight="true" outlineLevel="0" collapsed="false">
      <c r="A9" s="3" t="s">
        <v>7</v>
      </c>
    </row>
    <row r="10" customFormat="false" ht="15" hidden="false" customHeight="true" outlineLevel="0" collapsed="false">
      <c r="A10" s="3" t="s">
        <v>8</v>
      </c>
    </row>
    <row r="12" customFormat="false" ht="15" hidden="false" customHeight="true" outlineLevel="0" collapsed="false">
      <c r="A12" s="4" t="s">
        <v>9</v>
      </c>
    </row>
    <row r="13" customFormat="false" ht="15" hidden="false" customHeight="true" outlineLevel="0" collapsed="false">
      <c r="A13" s="4" t="s">
        <v>10</v>
      </c>
    </row>
    <row r="14" customFormat="false" ht="15" hidden="false" customHeight="true" outlineLevel="0" collapsed="false">
      <c r="A14" s="4" t="s">
        <v>11</v>
      </c>
    </row>
    <row r="15" customFormat="false" ht="15" hidden="false" customHeight="true" outlineLevel="0" collapsed="false">
      <c r="A15" s="4" t="s">
        <v>12</v>
      </c>
    </row>
    <row r="16" customFormat="false" ht="15" hidden="false" customHeight="true" outlineLevel="0" collapsed="false">
      <c r="A16" s="4" t="s">
        <v>13</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9" min="1" style="1" width="11"/>
  </cols>
  <sheetData>
    <row r="1" customFormat="false" ht="19.5" hidden="false" customHeight="true" outlineLevel="0" collapsed="false">
      <c r="A1" s="5" t="s">
        <v>14</v>
      </c>
    </row>
    <row r="2" customFormat="false" ht="15" hidden="false" customHeight="true" outlineLevel="0" collapsed="false">
      <c r="A2" s="6" t="s">
        <v>15</v>
      </c>
    </row>
    <row r="4" customFormat="false" ht="15" hidden="false" customHeight="true" outlineLevel="0" collapsed="false">
      <c r="A4" s="7" t="s">
        <v>16</v>
      </c>
      <c r="C4" s="7" t="s">
        <v>17</v>
      </c>
      <c r="E4" s="7" t="s">
        <v>18</v>
      </c>
      <c r="G4" s="7" t="s">
        <v>19</v>
      </c>
      <c r="I4" s="7" t="s">
        <v>20</v>
      </c>
      <c r="K4" s="7" t="s">
        <v>21</v>
      </c>
    </row>
    <row r="5" customFormat="false" ht="24" hidden="false" customHeight="true" outlineLevel="0" collapsed="false">
      <c r="A5" s="8" t="n">
        <f aca="false">Análisis!B12</f>
        <v>0.58</v>
      </c>
      <c r="C5" s="9" t="n">
        <f aca="false">Análisis!D12</f>
        <v>29</v>
      </c>
      <c r="E5" s="9" t="n">
        <f aca="false">Análisis!E12</f>
        <v>0</v>
      </c>
      <c r="G5" s="9" t="n">
        <f aca="false">Análisis!F12</f>
        <v>17</v>
      </c>
      <c r="I5" s="9" t="n">
        <f aca="false">Análisis!G12</f>
        <v>6</v>
      </c>
      <c r="K5" s="9" t="n">
        <f aca="false">Análisis!H12</f>
        <v>6</v>
      </c>
    </row>
    <row r="7" customFormat="false" ht="15" hidden="false" customHeight="true" outlineLevel="0" collapsed="false">
      <c r="A7" s="10" t="s">
        <v>22</v>
      </c>
    </row>
    <row r="8" customFormat="false" ht="15" hidden="false" customHeight="true" outlineLevel="0" collapsed="false">
      <c r="A8" s="11" t="str">
        <f aca="false">"El plan llega a "&amp;TEXT(Análisis!B12,"0%")&amp;" de avance, con "&amp;Análisis!E12&amp;" de "&amp;Análisis!D12&amp;" acciones cumplidas."</f>
        <v>El plan llega a 58% de avance, con 0 de 29 acciones cumplidas.</v>
      </c>
    </row>
    <row r="9" customFormat="false" ht="15" hidden="false" customHeight="true" outlineLevel="0" collapsed="false">
      <c r="A9" s="11" t="str">
        <f aca="false">"El programa con mayor avance es "&amp;Análisis!B16&amp;" ("&amp;TEXT(Análisis!C16,"0%")&amp;") y el de menor avance, "&amp;Análisis!B21&amp;" ("&amp;TEXT(Análisis!C21,"0%")&amp;")."</f>
        <v>El programa con mayor avance es P2 Formación (79%) y el de menor avance, P5 Planeación y CEA (46%).</v>
      </c>
    </row>
    <row r="10" customFormat="false" ht="15" hidden="false" customHeight="true" outlineLevel="0" collapsed="false">
      <c r="A10" s="11" t="str">
        <f aca="false">"De "&amp;Análisis!F31&amp;" metas del plan, "&amp;Análisis!B31&amp;" están logradas (90% o más) y "&amp;Análisis!E31&amp;" tienen avance bajo (menos de 40%)."</f>
        <v>De 98 metas del plan, 17 están logradas (90% o más) y 27 tienen avance bajo (menos de 40%).</v>
      </c>
    </row>
    <row r="11" customFormat="false" ht="15" hidden="false" customHeight="true" outlineLevel="0" collapsed="false">
      <c r="A11" s="11" t="str">
        <f aca="false">"Las metas priorizadas en 2025-2026 promedian "&amp;TEXT(Análisis!B41,"0%")&amp;"; las no priorizadas, "&amp;TEXT(Análisis!C41,"0%")&amp;"."</f>
        <v>Las metas priorizadas en 2025-2026 promedian 63%; las no priorizadas, 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4.43359375" defaultRowHeight="15" zeroHeight="false" outlineLevelRow="0" outlineLevelCol="0"/>
  <cols>
    <col collapsed="false" customWidth="true" hidden="false" outlineLevel="0" max="1" min="1" style="1" width="12"/>
    <col collapsed="false" customWidth="true" hidden="false" outlineLevel="0" max="2" min="2" style="1" width="32"/>
    <col collapsed="false" customWidth="true" hidden="false" outlineLevel="0" max="3" min="3" style="1" width="12"/>
    <col collapsed="false" customWidth="true" hidden="false" outlineLevel="0" max="5" min="4" style="1" width="55"/>
    <col collapsed="false" customWidth="true" hidden="false" outlineLevel="0" max="6" min="6" style="1" width="10"/>
    <col collapsed="false" customWidth="true" hidden="false" outlineLevel="0" max="26" min="7" style="1" width="8.71"/>
  </cols>
  <sheetData>
    <row r="1" customFormat="false" ht="26.25" hidden="false" customHeight="true" outlineLevel="0" collapsed="false">
      <c r="A1" s="12" t="s">
        <v>23</v>
      </c>
      <c r="B1" s="12" t="s">
        <v>24</v>
      </c>
      <c r="C1" s="12" t="s">
        <v>25</v>
      </c>
      <c r="D1" s="12" t="s">
        <v>26</v>
      </c>
      <c r="E1" s="12" t="s">
        <v>27</v>
      </c>
      <c r="F1" s="12" t="s">
        <v>28</v>
      </c>
    </row>
    <row r="2" customFormat="false" ht="23.25" hidden="false" customHeight="true" outlineLevel="0" collapsed="false">
      <c r="A2" s="13" t="s">
        <v>29</v>
      </c>
      <c r="B2" s="13" t="s">
        <v>30</v>
      </c>
      <c r="C2" s="13" t="s">
        <v>19</v>
      </c>
      <c r="D2" s="13" t="s">
        <v>31</v>
      </c>
      <c r="E2" s="13" t="s">
        <v>32</v>
      </c>
      <c r="F2" s="14" t="n">
        <f aca="false">ROUND(AVERAGEIFS(Acciones!$I:$I,Acciones!$B:$B,A2,Acciones!$F:$F,"No"),0)</f>
        <v>57</v>
      </c>
    </row>
    <row r="3" customFormat="false" ht="15" hidden="false" customHeight="true" outlineLevel="0" collapsed="false">
      <c r="A3" s="13" t="s">
        <v>33</v>
      </c>
      <c r="B3" s="13" t="s">
        <v>34</v>
      </c>
      <c r="C3" s="13" t="s">
        <v>19</v>
      </c>
      <c r="D3" s="13" t="s">
        <v>35</v>
      </c>
      <c r="E3" s="13" t="s">
        <v>36</v>
      </c>
      <c r="F3" s="14" t="n">
        <f aca="false">ROUND(AVERAGEIFS(Acciones!$I:$I,Acciones!$B:$B,A3,Acciones!$F:$F,"No"),0)</f>
        <v>79</v>
      </c>
    </row>
    <row r="4" customFormat="false" ht="23.25" hidden="false" customHeight="true" outlineLevel="0" collapsed="false">
      <c r="A4" s="13" t="s">
        <v>37</v>
      </c>
      <c r="B4" s="13" t="s">
        <v>38</v>
      </c>
      <c r="C4" s="13" t="s">
        <v>19</v>
      </c>
      <c r="D4" s="13" t="s">
        <v>39</v>
      </c>
      <c r="E4" s="13" t="s">
        <v>40</v>
      </c>
      <c r="F4" s="14" t="n">
        <f aca="false">ROUND(AVERAGEIFS(Acciones!$I:$I,Acciones!$B:$B,A4,Acciones!$F:$F,"No"),0)</f>
        <v>49</v>
      </c>
    </row>
    <row r="5" customFormat="false" ht="23.25" hidden="false" customHeight="true" outlineLevel="0" collapsed="false">
      <c r="A5" s="13" t="s">
        <v>41</v>
      </c>
      <c r="B5" s="13" t="s">
        <v>42</v>
      </c>
      <c r="C5" s="13" t="s">
        <v>19</v>
      </c>
      <c r="D5" s="13" t="s">
        <v>43</v>
      </c>
      <c r="E5" s="13" t="s">
        <v>44</v>
      </c>
      <c r="F5" s="14" t="n">
        <f aca="false">ROUND(AVERAGEIFS(Acciones!$I:$I,Acciones!$B:$B,A5,Acciones!$F:$F,"No"),0)</f>
        <v>50</v>
      </c>
    </row>
    <row r="6" customFormat="false" ht="23.25" hidden="false" customHeight="true" outlineLevel="0" collapsed="false">
      <c r="A6" s="13" t="s">
        <v>45</v>
      </c>
      <c r="B6" s="13" t="s">
        <v>46</v>
      </c>
      <c r="C6" s="13" t="s">
        <v>19</v>
      </c>
      <c r="D6" s="13" t="s">
        <v>47</v>
      </c>
      <c r="E6" s="13" t="s">
        <v>48</v>
      </c>
      <c r="F6" s="14" t="n">
        <f aca="false">ROUND(AVERAGEIFS(Acciones!$I:$I,Acciones!$B:$B,A6,Acciones!$F:$F,"No"),0)</f>
        <v>46</v>
      </c>
    </row>
    <row r="7" customFormat="false" ht="15" hidden="false" customHeight="true" outlineLevel="0" collapsed="false">
      <c r="A7" s="13" t="s">
        <v>49</v>
      </c>
      <c r="B7" s="13" t="s">
        <v>50</v>
      </c>
      <c r="C7" s="13" t="s">
        <v>19</v>
      </c>
      <c r="D7" s="13" t="s">
        <v>51</v>
      </c>
      <c r="E7" s="13" t="s">
        <v>52</v>
      </c>
      <c r="F7" s="14" t="n">
        <f aca="false">ROUND(AVERAGEIFS(Acciones!$I:$I,Acciones!$B:$B,A7,Acciones!$F:$F,"No"),0)</f>
        <v>68</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4.43359375" defaultRowHeight="15" zeroHeight="false" outlineLevelRow="0" outlineLevelCol="0"/>
  <cols>
    <col collapsed="false" customWidth="true" hidden="false" outlineLevel="0" max="2" min="1" style="1" width="10"/>
    <col collapsed="false" customWidth="true" hidden="false" outlineLevel="0" max="3" min="3" style="1" width="38"/>
    <col collapsed="false" customWidth="true" hidden="false" outlineLevel="0" max="4" min="4" style="1" width="12"/>
    <col collapsed="false" customWidth="true" hidden="false" outlineLevel="0" max="5" min="5" style="1" width="38"/>
    <col collapsed="false" customWidth="true" hidden="false" outlineLevel="0" max="6" min="6" style="1" width="10"/>
    <col collapsed="false" customWidth="true" hidden="false" outlineLevel="0" max="8" min="7" style="1" width="55"/>
    <col collapsed="false" customWidth="true" hidden="false" outlineLevel="0" max="9" min="9" style="1" width="15.85"/>
    <col collapsed="false" customWidth="true" hidden="false" outlineLevel="0" max="26" min="10" style="1" width="8.71"/>
  </cols>
  <sheetData>
    <row r="1" customFormat="false" ht="39" hidden="false" customHeight="true" outlineLevel="0" collapsed="false">
      <c r="A1" s="12" t="s">
        <v>53</v>
      </c>
      <c r="B1" s="12" t="s">
        <v>23</v>
      </c>
      <c r="C1" s="12" t="s">
        <v>54</v>
      </c>
      <c r="D1" s="12" t="s">
        <v>25</v>
      </c>
      <c r="E1" s="12" t="s">
        <v>55</v>
      </c>
      <c r="F1" s="12" t="s">
        <v>56</v>
      </c>
      <c r="G1" s="12" t="s">
        <v>26</v>
      </c>
      <c r="H1" s="12" t="s">
        <v>27</v>
      </c>
      <c r="I1" s="12" t="s">
        <v>28</v>
      </c>
    </row>
    <row r="2" customFormat="false" ht="23.25" hidden="false" customHeight="true" outlineLevel="0" collapsed="false">
      <c r="A2" s="13" t="s">
        <v>57</v>
      </c>
      <c r="B2" s="13" t="s">
        <v>29</v>
      </c>
      <c r="C2" s="13" t="s">
        <v>58</v>
      </c>
      <c r="D2" s="13" t="s">
        <v>19</v>
      </c>
      <c r="E2" s="13" t="s">
        <v>59</v>
      </c>
      <c r="F2" s="13" t="s">
        <v>60</v>
      </c>
      <c r="G2" s="13" t="s">
        <v>61</v>
      </c>
      <c r="H2" s="13" t="s">
        <v>62</v>
      </c>
      <c r="I2" s="14" t="n">
        <f aca="false">ROUND(AVERAGEIF(Metas!$C:$C,A2,Metas!$H:$H),0)</f>
        <v>75</v>
      </c>
    </row>
    <row r="3" customFormat="false" ht="23.25" hidden="false" customHeight="true" outlineLevel="0" collapsed="false">
      <c r="A3" s="13" t="s">
        <v>63</v>
      </c>
      <c r="B3" s="13" t="s">
        <v>29</v>
      </c>
      <c r="C3" s="13" t="s">
        <v>64</v>
      </c>
      <c r="D3" s="13" t="s">
        <v>65</v>
      </c>
      <c r="E3" s="13" t="s">
        <v>66</v>
      </c>
      <c r="F3" s="13" t="s">
        <v>60</v>
      </c>
      <c r="G3" s="13" t="s">
        <v>67</v>
      </c>
      <c r="H3" s="13" t="s">
        <v>68</v>
      </c>
      <c r="I3" s="14" t="n">
        <f aca="false">ROUND(AVERAGEIF(Metas!$C:$C,A3,Metas!$H:$H),0)</f>
        <v>57</v>
      </c>
    </row>
    <row r="4" customFormat="false" ht="23.25" hidden="false" customHeight="true" outlineLevel="0" collapsed="false">
      <c r="A4" s="13" t="s">
        <v>69</v>
      </c>
      <c r="B4" s="13" t="s">
        <v>29</v>
      </c>
      <c r="C4" s="13" t="s">
        <v>70</v>
      </c>
      <c r="D4" s="13" t="s">
        <v>71</v>
      </c>
      <c r="E4" s="13" t="s">
        <v>72</v>
      </c>
      <c r="F4" s="13" t="s">
        <v>60</v>
      </c>
      <c r="G4" s="13" t="s">
        <v>73</v>
      </c>
      <c r="H4" s="13" t="s">
        <v>74</v>
      </c>
      <c r="I4" s="14" t="n">
        <f aca="false">ROUND(AVERAGEIF(Metas!$C:$C,A4,Metas!$H:$H),0)</f>
        <v>38</v>
      </c>
    </row>
    <row r="5" customFormat="false" ht="34.5" hidden="false" customHeight="true" outlineLevel="0" collapsed="false">
      <c r="A5" s="13" t="s">
        <v>75</v>
      </c>
      <c r="B5" s="13" t="s">
        <v>33</v>
      </c>
      <c r="C5" s="13" t="s">
        <v>76</v>
      </c>
      <c r="D5" s="13" t="s">
        <v>19</v>
      </c>
      <c r="E5" s="13" t="s">
        <v>19</v>
      </c>
      <c r="F5" s="13" t="s">
        <v>60</v>
      </c>
      <c r="G5" s="13" t="s">
        <v>77</v>
      </c>
      <c r="H5" s="13" t="s">
        <v>78</v>
      </c>
      <c r="I5" s="14" t="n">
        <f aca="false">ROUND(AVERAGEIF(Metas!$C:$C,A5,Metas!$H:$H),0)</f>
        <v>74</v>
      </c>
    </row>
    <row r="6" customFormat="false" ht="23.25" hidden="false" customHeight="true" outlineLevel="0" collapsed="false">
      <c r="A6" s="13" t="s">
        <v>79</v>
      </c>
      <c r="B6" s="13" t="s">
        <v>33</v>
      </c>
      <c r="C6" s="13" t="s">
        <v>80</v>
      </c>
      <c r="D6" s="13" t="s">
        <v>65</v>
      </c>
      <c r="E6" s="13" t="s">
        <v>81</v>
      </c>
      <c r="F6" s="13" t="s">
        <v>60</v>
      </c>
      <c r="G6" s="13" t="s">
        <v>82</v>
      </c>
      <c r="H6" s="13" t="s">
        <v>83</v>
      </c>
      <c r="I6" s="14" t="n">
        <f aca="false">ROUND(AVERAGEIF(Metas!$C:$C,A6,Metas!$H:$H),0)</f>
        <v>79</v>
      </c>
    </row>
    <row r="7" customFormat="false" ht="23.25" hidden="false" customHeight="true" outlineLevel="0" collapsed="false">
      <c r="A7" s="13" t="s">
        <v>84</v>
      </c>
      <c r="B7" s="13" t="s">
        <v>33</v>
      </c>
      <c r="C7" s="13" t="s">
        <v>85</v>
      </c>
      <c r="D7" s="13" t="s">
        <v>19</v>
      </c>
      <c r="E7" s="13" t="s">
        <v>19</v>
      </c>
      <c r="F7" s="13" t="s">
        <v>60</v>
      </c>
      <c r="G7" s="13" t="s">
        <v>86</v>
      </c>
      <c r="H7" s="13" t="s">
        <v>87</v>
      </c>
      <c r="I7" s="14" t="n">
        <f aca="false">ROUND(AVERAGEIF(Metas!$C:$C,A7,Metas!$H:$H),0)</f>
        <v>83</v>
      </c>
    </row>
    <row r="8" customFormat="false" ht="23.25" hidden="false" customHeight="true" outlineLevel="0" collapsed="false">
      <c r="A8" s="13" t="s">
        <v>88</v>
      </c>
      <c r="B8" s="13" t="s">
        <v>37</v>
      </c>
      <c r="C8" s="13" t="s">
        <v>89</v>
      </c>
      <c r="D8" s="13" t="s">
        <v>19</v>
      </c>
      <c r="E8" s="13" t="s">
        <v>19</v>
      </c>
      <c r="F8" s="13" t="s">
        <v>60</v>
      </c>
      <c r="G8" s="13" t="s">
        <v>90</v>
      </c>
      <c r="H8" s="13" t="s">
        <v>91</v>
      </c>
      <c r="I8" s="14" t="n">
        <f aca="false">ROUND(AVERAGEIF(Metas!$C:$C,A8,Metas!$H:$H),0)</f>
        <v>51</v>
      </c>
    </row>
    <row r="9" customFormat="false" ht="23.25" hidden="false" customHeight="true" outlineLevel="0" collapsed="false">
      <c r="A9" s="13" t="s">
        <v>92</v>
      </c>
      <c r="B9" s="13" t="s">
        <v>37</v>
      </c>
      <c r="C9" s="13" t="s">
        <v>93</v>
      </c>
      <c r="D9" s="13" t="s">
        <v>19</v>
      </c>
      <c r="E9" s="13" t="s">
        <v>19</v>
      </c>
      <c r="F9" s="13" t="s">
        <v>60</v>
      </c>
      <c r="G9" s="13" t="s">
        <v>94</v>
      </c>
      <c r="H9" s="13" t="s">
        <v>95</v>
      </c>
      <c r="I9" s="14" t="n">
        <f aca="false">ROUND(AVERAGEIF(Metas!$C:$C,A9,Metas!$H:$H),0)</f>
        <v>42</v>
      </c>
    </row>
    <row r="10" customFormat="false" ht="23.25" hidden="false" customHeight="true" outlineLevel="0" collapsed="false">
      <c r="A10" s="13" t="s">
        <v>96</v>
      </c>
      <c r="B10" s="13" t="s">
        <v>37</v>
      </c>
      <c r="C10" s="13" t="s">
        <v>97</v>
      </c>
      <c r="D10" s="13" t="s">
        <v>19</v>
      </c>
      <c r="E10" s="13" t="s">
        <v>19</v>
      </c>
      <c r="F10" s="13" t="s">
        <v>60</v>
      </c>
      <c r="G10" s="13" t="s">
        <v>98</v>
      </c>
      <c r="H10" s="13" t="s">
        <v>99</v>
      </c>
      <c r="I10" s="14" t="n">
        <f aca="false">ROUND(AVERAGEIF(Metas!$C:$C,A10,Metas!$H:$H),0)</f>
        <v>59</v>
      </c>
    </row>
    <row r="11" customFormat="false" ht="23.25" hidden="false" customHeight="true" outlineLevel="0" collapsed="false">
      <c r="A11" s="13" t="s">
        <v>100</v>
      </c>
      <c r="B11" s="13" t="s">
        <v>37</v>
      </c>
      <c r="C11" s="13" t="s">
        <v>101</v>
      </c>
      <c r="D11" s="13" t="s">
        <v>65</v>
      </c>
      <c r="E11" s="13" t="s">
        <v>102</v>
      </c>
      <c r="F11" s="13" t="s">
        <v>60</v>
      </c>
      <c r="G11" s="13" t="s">
        <v>103</v>
      </c>
      <c r="H11" s="13" t="s">
        <v>104</v>
      </c>
      <c r="I11" s="14" t="n">
        <f aca="false">ROUND(AVERAGEIF(Metas!$C:$C,A11,Metas!$H:$H),0)</f>
        <v>42</v>
      </c>
    </row>
    <row r="12" customFormat="false" ht="23.25" hidden="false" customHeight="true" outlineLevel="0" collapsed="false">
      <c r="A12" s="13" t="s">
        <v>105</v>
      </c>
      <c r="B12" s="13" t="s">
        <v>37</v>
      </c>
      <c r="C12" s="13" t="s">
        <v>106</v>
      </c>
      <c r="D12" s="13" t="s">
        <v>71</v>
      </c>
      <c r="E12" s="13" t="s">
        <v>71</v>
      </c>
      <c r="F12" s="13" t="s">
        <v>107</v>
      </c>
      <c r="G12" s="13" t="s">
        <v>108</v>
      </c>
      <c r="H12" s="13" t="s">
        <v>109</v>
      </c>
      <c r="I12" s="14" t="n">
        <f aca="false">ROUND(AVERAGEIF(Metas!$C:$C,A12,Metas!$H:$H),0)</f>
        <v>73</v>
      </c>
    </row>
    <row r="13" customFormat="false" ht="23.25" hidden="false" customHeight="true" outlineLevel="0" collapsed="false">
      <c r="A13" s="13" t="s">
        <v>110</v>
      </c>
      <c r="B13" s="13" t="s">
        <v>41</v>
      </c>
      <c r="C13" s="13" t="s">
        <v>111</v>
      </c>
      <c r="D13" s="13" t="s">
        <v>19</v>
      </c>
      <c r="E13" s="13" t="s">
        <v>19</v>
      </c>
      <c r="F13" s="13" t="s">
        <v>60</v>
      </c>
      <c r="G13" s="13" t="s">
        <v>112</v>
      </c>
      <c r="H13" s="13" t="s">
        <v>113</v>
      </c>
      <c r="I13" s="14" t="n">
        <f aca="false">ROUND(AVERAGEIF(Metas!$C:$C,A13,Metas!$H:$H),0)</f>
        <v>78</v>
      </c>
    </row>
    <row r="14" customFormat="false" ht="23.25" hidden="false" customHeight="true" outlineLevel="0" collapsed="false">
      <c r="A14" s="13" t="s">
        <v>114</v>
      </c>
      <c r="B14" s="13" t="s">
        <v>41</v>
      </c>
      <c r="C14" s="13" t="s">
        <v>115</v>
      </c>
      <c r="D14" s="13" t="s">
        <v>19</v>
      </c>
      <c r="E14" s="13" t="s">
        <v>19</v>
      </c>
      <c r="F14" s="13" t="s">
        <v>60</v>
      </c>
      <c r="G14" s="13" t="s">
        <v>116</v>
      </c>
      <c r="H14" s="13" t="s">
        <v>117</v>
      </c>
      <c r="I14" s="14" t="n">
        <f aca="false">ROUND(AVERAGEIF(Metas!$C:$C,A14,Metas!$H:$H),0)</f>
        <v>90</v>
      </c>
    </row>
    <row r="15" customFormat="false" ht="15" hidden="false" customHeight="true" outlineLevel="0" collapsed="false">
      <c r="A15" s="13" t="s">
        <v>118</v>
      </c>
      <c r="B15" s="13" t="s">
        <v>41</v>
      </c>
      <c r="C15" s="13" t="s">
        <v>119</v>
      </c>
      <c r="D15" s="13" t="s">
        <v>71</v>
      </c>
      <c r="E15" s="13" t="s">
        <v>71</v>
      </c>
      <c r="F15" s="13" t="s">
        <v>60</v>
      </c>
      <c r="G15" s="13" t="s">
        <v>120</v>
      </c>
      <c r="H15" s="13" t="s">
        <v>121</v>
      </c>
      <c r="I15" s="14" t="n">
        <f aca="false">ROUND(AVERAGEIF(Metas!$C:$C,A15,Metas!$H:$H),0)</f>
        <v>60</v>
      </c>
    </row>
    <row r="16" customFormat="false" ht="23.25" hidden="false" customHeight="true" outlineLevel="0" collapsed="false">
      <c r="A16" s="13" t="s">
        <v>122</v>
      </c>
      <c r="B16" s="13" t="s">
        <v>41</v>
      </c>
      <c r="C16" s="13" t="s">
        <v>123</v>
      </c>
      <c r="D16" s="13" t="s">
        <v>71</v>
      </c>
      <c r="E16" s="13" t="s">
        <v>124</v>
      </c>
      <c r="F16" s="13" t="s">
        <v>60</v>
      </c>
      <c r="G16" s="13" t="s">
        <v>125</v>
      </c>
      <c r="H16" s="13" t="s">
        <v>126</v>
      </c>
      <c r="I16" s="14" t="n">
        <f aca="false">ROUND(AVERAGEIF(Metas!$C:$C,A16,Metas!$H:$H),0)</f>
        <v>29</v>
      </c>
    </row>
    <row r="17" customFormat="false" ht="23.25" hidden="false" customHeight="true" outlineLevel="0" collapsed="false">
      <c r="A17" s="13" t="s">
        <v>127</v>
      </c>
      <c r="B17" s="13" t="s">
        <v>41</v>
      </c>
      <c r="C17" s="13" t="s">
        <v>128</v>
      </c>
      <c r="D17" s="13" t="s">
        <v>65</v>
      </c>
      <c r="E17" s="13" t="s">
        <v>129</v>
      </c>
      <c r="F17" s="13" t="s">
        <v>60</v>
      </c>
      <c r="G17" s="13" t="s">
        <v>130</v>
      </c>
      <c r="H17" s="13" t="s">
        <v>131</v>
      </c>
      <c r="I17" s="14" t="n">
        <f aca="false">ROUND(AVERAGEIF(Metas!$C:$C,A17,Metas!$H:$H),0)</f>
        <v>32</v>
      </c>
    </row>
    <row r="18" customFormat="false" ht="15" hidden="false" customHeight="true" outlineLevel="0" collapsed="false">
      <c r="A18" s="13" t="s">
        <v>132</v>
      </c>
      <c r="B18" s="13" t="s">
        <v>41</v>
      </c>
      <c r="C18" s="13" t="s">
        <v>133</v>
      </c>
      <c r="D18" s="13" t="s">
        <v>71</v>
      </c>
      <c r="E18" s="13" t="s">
        <v>71</v>
      </c>
      <c r="F18" s="13" t="s">
        <v>60</v>
      </c>
      <c r="G18" s="13" t="s">
        <v>134</v>
      </c>
      <c r="H18" s="13" t="s">
        <v>135</v>
      </c>
      <c r="I18" s="14" t="n">
        <f aca="false">ROUND(AVERAGEIF(Metas!$C:$C,A18,Metas!$H:$H),0)</f>
        <v>10</v>
      </c>
    </row>
    <row r="19" customFormat="false" ht="15" hidden="false" customHeight="true" outlineLevel="0" collapsed="false">
      <c r="A19" s="13" t="s">
        <v>136</v>
      </c>
      <c r="B19" s="13" t="s">
        <v>41</v>
      </c>
      <c r="C19" s="13" t="s">
        <v>137</v>
      </c>
      <c r="D19" s="13" t="s">
        <v>71</v>
      </c>
      <c r="E19" s="13" t="s">
        <v>71</v>
      </c>
      <c r="F19" s="13" t="s">
        <v>107</v>
      </c>
      <c r="G19" s="13" t="s">
        <v>138</v>
      </c>
      <c r="H19" s="13" t="s">
        <v>139</v>
      </c>
      <c r="I19" s="14" t="n">
        <f aca="false">ROUND(AVERAGEIF(Metas!$C:$C,A19,Metas!$H:$H),0)</f>
        <v>20</v>
      </c>
    </row>
    <row r="20" customFormat="false" ht="23.25" hidden="false" customHeight="true" outlineLevel="0" collapsed="false">
      <c r="A20" s="13" t="s">
        <v>140</v>
      </c>
      <c r="B20" s="13" t="s">
        <v>45</v>
      </c>
      <c r="C20" s="13" t="s">
        <v>141</v>
      </c>
      <c r="D20" s="13" t="s">
        <v>65</v>
      </c>
      <c r="E20" s="13" t="s">
        <v>142</v>
      </c>
      <c r="F20" s="13" t="s">
        <v>60</v>
      </c>
      <c r="G20" s="13" t="s">
        <v>143</v>
      </c>
      <c r="H20" s="13" t="s">
        <v>144</v>
      </c>
      <c r="I20" s="14" t="n">
        <f aca="false">ROUND(AVERAGEIF(Metas!$C:$C,A20,Metas!$H:$H),0)</f>
        <v>47</v>
      </c>
    </row>
    <row r="21" customFormat="false" ht="15.75" hidden="false" customHeight="true" outlineLevel="0" collapsed="false">
      <c r="A21" s="13" t="s">
        <v>145</v>
      </c>
      <c r="B21" s="13" t="s">
        <v>45</v>
      </c>
      <c r="C21" s="13" t="s">
        <v>146</v>
      </c>
      <c r="D21" s="13" t="s">
        <v>19</v>
      </c>
      <c r="E21" s="13" t="s">
        <v>19</v>
      </c>
      <c r="F21" s="13" t="s">
        <v>60</v>
      </c>
      <c r="G21" s="13" t="s">
        <v>147</v>
      </c>
      <c r="H21" s="13" t="s">
        <v>148</v>
      </c>
      <c r="I21" s="14" t="n">
        <f aca="false">ROUND(AVERAGEIF(Metas!$C:$C,A21,Metas!$H:$H),0)</f>
        <v>60</v>
      </c>
    </row>
    <row r="22" customFormat="false" ht="15.75" hidden="false" customHeight="true" outlineLevel="0" collapsed="false">
      <c r="A22" s="13" t="s">
        <v>149</v>
      </c>
      <c r="B22" s="13" t="s">
        <v>45</v>
      </c>
      <c r="C22" s="13" t="s">
        <v>150</v>
      </c>
      <c r="D22" s="13" t="s">
        <v>71</v>
      </c>
      <c r="E22" s="13" t="s">
        <v>151</v>
      </c>
      <c r="F22" s="13" t="s">
        <v>60</v>
      </c>
      <c r="G22" s="13" t="s">
        <v>152</v>
      </c>
      <c r="H22" s="13" t="s">
        <v>153</v>
      </c>
      <c r="I22" s="14" t="n">
        <f aca="false">ROUND(AVERAGEIF(Metas!$C:$C,A22,Metas!$H:$H),0)</f>
        <v>48</v>
      </c>
    </row>
    <row r="23" customFormat="false" ht="15.75" hidden="false" customHeight="true" outlineLevel="0" collapsed="false">
      <c r="A23" s="13" t="s">
        <v>154</v>
      </c>
      <c r="B23" s="13" t="s">
        <v>45</v>
      </c>
      <c r="C23" s="13" t="s">
        <v>155</v>
      </c>
      <c r="D23" s="13" t="s">
        <v>19</v>
      </c>
      <c r="E23" s="13" t="s">
        <v>156</v>
      </c>
      <c r="F23" s="13" t="s">
        <v>60</v>
      </c>
      <c r="G23" s="13" t="s">
        <v>157</v>
      </c>
      <c r="H23" s="13" t="s">
        <v>158</v>
      </c>
      <c r="I23" s="14" t="n">
        <f aca="false">ROUND(AVERAGEIF(Metas!$C:$C,A23,Metas!$H:$H),0)</f>
        <v>50</v>
      </c>
    </row>
    <row r="24" customFormat="false" ht="15.75" hidden="false" customHeight="true" outlineLevel="0" collapsed="false">
      <c r="A24" s="13" t="s">
        <v>159</v>
      </c>
      <c r="B24" s="13" t="s">
        <v>45</v>
      </c>
      <c r="C24" s="13" t="s">
        <v>160</v>
      </c>
      <c r="D24" s="13" t="s">
        <v>19</v>
      </c>
      <c r="E24" s="13" t="s">
        <v>19</v>
      </c>
      <c r="F24" s="13" t="s">
        <v>60</v>
      </c>
      <c r="G24" s="13" t="s">
        <v>161</v>
      </c>
      <c r="H24" s="13" t="s">
        <v>162</v>
      </c>
      <c r="I24" s="14" t="n">
        <f aca="false">ROUND(AVERAGEIF(Metas!$C:$C,A24,Metas!$H:$H),0)</f>
        <v>40</v>
      </c>
    </row>
    <row r="25" customFormat="false" ht="15.75" hidden="false" customHeight="true" outlineLevel="0" collapsed="false">
      <c r="A25" s="13" t="s">
        <v>163</v>
      </c>
      <c r="B25" s="13" t="s">
        <v>45</v>
      </c>
      <c r="C25" s="13" t="s">
        <v>164</v>
      </c>
      <c r="D25" s="13" t="s">
        <v>19</v>
      </c>
      <c r="E25" s="13" t="s">
        <v>19</v>
      </c>
      <c r="F25" s="13" t="s">
        <v>60</v>
      </c>
      <c r="G25" s="13" t="s">
        <v>165</v>
      </c>
      <c r="H25" s="13" t="s">
        <v>166</v>
      </c>
      <c r="I25" s="14" t="n">
        <f aca="false">ROUND(AVERAGEIF(Metas!$C:$C,A25,Metas!$H:$H),0)</f>
        <v>45</v>
      </c>
    </row>
    <row r="26" customFormat="false" ht="15.75" hidden="false" customHeight="true" outlineLevel="0" collapsed="false">
      <c r="A26" s="13" t="s">
        <v>167</v>
      </c>
      <c r="B26" s="13" t="s">
        <v>45</v>
      </c>
      <c r="C26" s="13" t="s">
        <v>168</v>
      </c>
      <c r="D26" s="13" t="s">
        <v>71</v>
      </c>
      <c r="E26" s="13" t="s">
        <v>71</v>
      </c>
      <c r="F26" s="13" t="s">
        <v>60</v>
      </c>
      <c r="G26" s="13" t="s">
        <v>169</v>
      </c>
      <c r="H26" s="13" t="s">
        <v>170</v>
      </c>
      <c r="I26" s="14" t="n">
        <f aca="false">ROUND(AVERAGEIF(Metas!$C:$C,A26,Metas!$H:$H),0)</f>
        <v>30</v>
      </c>
    </row>
    <row r="27" customFormat="false" ht="15.75" hidden="false" customHeight="true" outlineLevel="0" collapsed="false">
      <c r="A27" s="13" t="s">
        <v>171</v>
      </c>
      <c r="B27" s="13" t="s">
        <v>45</v>
      </c>
      <c r="C27" s="13" t="s">
        <v>172</v>
      </c>
      <c r="D27" s="13" t="s">
        <v>71</v>
      </c>
      <c r="E27" s="13" t="s">
        <v>71</v>
      </c>
      <c r="F27" s="13" t="s">
        <v>107</v>
      </c>
      <c r="G27" s="13" t="s">
        <v>173</v>
      </c>
      <c r="H27" s="13" t="s">
        <v>174</v>
      </c>
      <c r="I27" s="14" t="n">
        <f aca="false">ROUND(AVERAGEIF(Metas!$C:$C,A27,Metas!$H:$H),0)</f>
        <v>40</v>
      </c>
    </row>
    <row r="28" customFormat="false" ht="15.75" hidden="false" customHeight="true" outlineLevel="0" collapsed="false">
      <c r="A28" s="13" t="s">
        <v>175</v>
      </c>
      <c r="B28" s="13" t="s">
        <v>49</v>
      </c>
      <c r="C28" s="13" t="s">
        <v>176</v>
      </c>
      <c r="D28" s="13" t="s">
        <v>19</v>
      </c>
      <c r="E28" s="13" t="s">
        <v>19</v>
      </c>
      <c r="F28" s="13" t="s">
        <v>60</v>
      </c>
      <c r="G28" s="13" t="s">
        <v>177</v>
      </c>
      <c r="H28" s="13" t="s">
        <v>178</v>
      </c>
      <c r="I28" s="14" t="n">
        <f aca="false">ROUND(AVERAGEIF(Metas!$C:$C,A28,Metas!$H:$H),0)</f>
        <v>72</v>
      </c>
    </row>
    <row r="29" customFormat="false" ht="15.75" hidden="false" customHeight="true" outlineLevel="0" collapsed="false">
      <c r="A29" s="13" t="s">
        <v>179</v>
      </c>
      <c r="B29" s="13" t="s">
        <v>49</v>
      </c>
      <c r="C29" s="13" t="s">
        <v>180</v>
      </c>
      <c r="D29" s="13" t="s">
        <v>19</v>
      </c>
      <c r="E29" s="13" t="s">
        <v>19</v>
      </c>
      <c r="F29" s="13" t="s">
        <v>60</v>
      </c>
      <c r="G29" s="13" t="s">
        <v>181</v>
      </c>
      <c r="H29" s="13" t="s">
        <v>182</v>
      </c>
      <c r="I29" s="14" t="n">
        <f aca="false">ROUND(AVERAGEIF(Metas!$C:$C,A29,Metas!$H:$H),0)</f>
        <v>88</v>
      </c>
    </row>
    <row r="30" customFormat="false" ht="15.75" hidden="false" customHeight="true" outlineLevel="0" collapsed="false">
      <c r="A30" s="13" t="s">
        <v>183</v>
      </c>
      <c r="B30" s="13" t="s">
        <v>49</v>
      </c>
      <c r="C30" s="13" t="s">
        <v>184</v>
      </c>
      <c r="D30" s="13" t="s">
        <v>19</v>
      </c>
      <c r="E30" s="13" t="s">
        <v>19</v>
      </c>
      <c r="F30" s="13" t="s">
        <v>60</v>
      </c>
      <c r="G30" s="13" t="s">
        <v>185</v>
      </c>
      <c r="H30" s="13" t="s">
        <v>186</v>
      </c>
      <c r="I30" s="14" t="n">
        <f aca="false">ROUND(AVERAGEIF(Metas!$C:$C,A30,Metas!$H:$H),0)</f>
        <v>50</v>
      </c>
    </row>
    <row r="31" customFormat="false" ht="15.75" hidden="false" customHeight="true" outlineLevel="0" collapsed="false">
      <c r="A31" s="13" t="s">
        <v>187</v>
      </c>
      <c r="B31" s="13" t="s">
        <v>49</v>
      </c>
      <c r="C31" s="13" t="s">
        <v>188</v>
      </c>
      <c r="D31" s="13" t="s">
        <v>19</v>
      </c>
      <c r="E31" s="13" t="s">
        <v>19</v>
      </c>
      <c r="F31" s="13" t="s">
        <v>60</v>
      </c>
      <c r="G31" s="13" t="s">
        <v>189</v>
      </c>
      <c r="H31" s="13" t="s">
        <v>190</v>
      </c>
      <c r="I31" s="14" t="n">
        <f aca="false">ROUND(AVERAGEIF(Metas!$C:$C,A31,Metas!$H:$H),0)</f>
        <v>80</v>
      </c>
    </row>
    <row r="32" customFormat="false" ht="15.75" hidden="false" customHeight="true" outlineLevel="0" collapsed="false">
      <c r="A32" s="13" t="s">
        <v>191</v>
      </c>
      <c r="B32" s="13" t="s">
        <v>49</v>
      </c>
      <c r="C32" s="13" t="s">
        <v>192</v>
      </c>
      <c r="D32" s="13" t="s">
        <v>19</v>
      </c>
      <c r="E32" s="13" t="s">
        <v>19</v>
      </c>
      <c r="F32" s="13" t="s">
        <v>60</v>
      </c>
      <c r="G32" s="13" t="s">
        <v>193</v>
      </c>
      <c r="H32" s="13" t="s">
        <v>194</v>
      </c>
      <c r="I32" s="14" t="n">
        <f aca="false">ROUND(AVERAGEIF(Metas!$C:$C,A32,Metas!$H:$H),0)</f>
        <v>80</v>
      </c>
    </row>
    <row r="33" customFormat="false" ht="15.75" hidden="false" customHeight="true" outlineLevel="0" collapsed="false">
      <c r="A33" s="13" t="s">
        <v>195</v>
      </c>
      <c r="B33" s="13" t="s">
        <v>49</v>
      </c>
      <c r="C33" s="13" t="s">
        <v>196</v>
      </c>
      <c r="D33" s="13" t="s">
        <v>65</v>
      </c>
      <c r="E33" s="13" t="s">
        <v>197</v>
      </c>
      <c r="F33" s="13" t="s">
        <v>60</v>
      </c>
      <c r="G33" s="13" t="s">
        <v>198</v>
      </c>
      <c r="H33" s="13" t="s">
        <v>199</v>
      </c>
      <c r="I33" s="14" t="n">
        <f aca="false">ROUND(AVERAGEIF(Metas!$C:$C,A33,Metas!$H:$H),0)</f>
        <v>35</v>
      </c>
    </row>
    <row r="34" customFormat="false" ht="15.75" hidden="false" customHeight="true" outlineLevel="0" collapsed="false">
      <c r="A34" s="13" t="s">
        <v>200</v>
      </c>
      <c r="B34" s="13" t="s">
        <v>49</v>
      </c>
      <c r="C34" s="13" t="s">
        <v>201</v>
      </c>
      <c r="D34" s="13" t="s">
        <v>19</v>
      </c>
      <c r="E34" s="13" t="s">
        <v>19</v>
      </c>
      <c r="F34" s="13" t="s">
        <v>107</v>
      </c>
      <c r="G34" s="13" t="s">
        <v>202</v>
      </c>
      <c r="H34" s="13" t="s">
        <v>203</v>
      </c>
      <c r="I34" s="14" t="n">
        <f aca="false">ROUND(AVERAGEIF(Metas!$C:$C,A34,Metas!$H:$H),0)</f>
        <v>90</v>
      </c>
    </row>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autoFilter ref="A1:Z3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pageSetUpPr fitToPage="false"/>
  </sheetPr>
  <dimension ref="A1:I1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4.43359375" defaultRowHeight="15" zeroHeight="false" outlineLevelRow="0" outlineLevelCol="0"/>
  <cols>
    <col collapsed="false" customWidth="true" hidden="false" outlineLevel="0" max="1" min="1" style="1" width="13"/>
    <col collapsed="false" customWidth="true" hidden="false" outlineLevel="0" max="3" min="2" style="1" width="10"/>
    <col collapsed="false" customWidth="true" hidden="false" outlineLevel="0" max="4" min="4" style="1" width="14"/>
    <col collapsed="false" customWidth="true" hidden="false" outlineLevel="0" max="5" min="5" style="1" width="45"/>
    <col collapsed="false" customWidth="true" hidden="false" outlineLevel="0" max="6" min="6" style="1" width="55"/>
    <col collapsed="false" customWidth="true" hidden="false" outlineLevel="0" max="7" min="7" style="1" width="36.57"/>
    <col collapsed="false" customWidth="true" hidden="false" outlineLevel="0" max="8" min="8" style="1" width="11"/>
    <col collapsed="false" customWidth="true" hidden="false" outlineLevel="0" max="26" min="9" style="1" width="16"/>
  </cols>
  <sheetData>
    <row r="1" customFormat="false" ht="26.25" hidden="false" customHeight="true" outlineLevel="0" collapsed="false">
      <c r="A1" s="12" t="s">
        <v>204</v>
      </c>
      <c r="B1" s="12" t="s">
        <v>23</v>
      </c>
      <c r="C1" s="12" t="s">
        <v>53</v>
      </c>
      <c r="D1" s="12" t="s">
        <v>205</v>
      </c>
      <c r="E1" s="12" t="s">
        <v>206</v>
      </c>
      <c r="F1" s="12" t="s">
        <v>26</v>
      </c>
      <c r="G1" s="12" t="s">
        <v>27</v>
      </c>
      <c r="H1" s="12" t="s">
        <v>207</v>
      </c>
      <c r="I1" s="15" t="s">
        <v>208</v>
      </c>
    </row>
    <row r="2" customFormat="false" ht="15" hidden="true" customHeight="true" outlineLevel="0" collapsed="false">
      <c r="A2" s="13" t="s">
        <v>209</v>
      </c>
      <c r="B2" s="13" t="s">
        <v>29</v>
      </c>
      <c r="C2" s="13" t="s">
        <v>57</v>
      </c>
      <c r="D2" s="13" t="s">
        <v>210</v>
      </c>
      <c r="E2" s="13" t="s">
        <v>211</v>
      </c>
      <c r="F2" s="13" t="s">
        <v>212</v>
      </c>
      <c r="G2" s="13" t="s">
        <v>213</v>
      </c>
      <c r="H2" s="13" t="n">
        <v>100</v>
      </c>
      <c r="I2" s="4" t="s">
        <v>214</v>
      </c>
    </row>
    <row r="3" customFormat="false" ht="23.25" hidden="true" customHeight="true" outlineLevel="0" collapsed="false">
      <c r="A3" s="13" t="s">
        <v>215</v>
      </c>
      <c r="B3" s="13" t="s">
        <v>29</v>
      </c>
      <c r="C3" s="13" t="s">
        <v>57</v>
      </c>
      <c r="D3" s="13" t="s">
        <v>210</v>
      </c>
      <c r="E3" s="13" t="s">
        <v>216</v>
      </c>
      <c r="F3" s="13" t="s">
        <v>217</v>
      </c>
      <c r="G3" s="13" t="s">
        <v>218</v>
      </c>
      <c r="H3" s="13" t="n">
        <v>90</v>
      </c>
      <c r="I3" s="4" t="s">
        <v>214</v>
      </c>
    </row>
    <row r="4" customFormat="false" ht="23.25" hidden="true" customHeight="true" outlineLevel="0" collapsed="false">
      <c r="A4" s="13" t="s">
        <v>219</v>
      </c>
      <c r="B4" s="13" t="s">
        <v>29</v>
      </c>
      <c r="C4" s="13" t="s">
        <v>57</v>
      </c>
      <c r="D4" s="13" t="s">
        <v>220</v>
      </c>
      <c r="E4" s="13" t="s">
        <v>221</v>
      </c>
      <c r="F4" s="13" t="s">
        <v>222</v>
      </c>
      <c r="G4" s="13" t="s">
        <v>223</v>
      </c>
      <c r="H4" s="13" t="n">
        <v>50</v>
      </c>
      <c r="I4" s="4" t="s">
        <v>214</v>
      </c>
    </row>
    <row r="5" customFormat="false" ht="23.25" hidden="true" customHeight="true" outlineLevel="0" collapsed="false">
      <c r="A5" s="13" t="s">
        <v>224</v>
      </c>
      <c r="B5" s="13" t="s">
        <v>29</v>
      </c>
      <c r="C5" s="13" t="s">
        <v>57</v>
      </c>
      <c r="D5" s="13" t="s">
        <v>210</v>
      </c>
      <c r="E5" s="13" t="s">
        <v>225</v>
      </c>
      <c r="F5" s="13" t="s">
        <v>226</v>
      </c>
      <c r="G5" s="13" t="s">
        <v>227</v>
      </c>
      <c r="H5" s="13" t="n">
        <v>50</v>
      </c>
      <c r="I5" s="4" t="s">
        <v>214</v>
      </c>
    </row>
    <row r="6" customFormat="false" ht="23.25" hidden="true" customHeight="true" outlineLevel="0" collapsed="false">
      <c r="A6" s="13" t="s">
        <v>228</v>
      </c>
      <c r="B6" s="13" t="s">
        <v>29</v>
      </c>
      <c r="C6" s="13" t="s">
        <v>57</v>
      </c>
      <c r="D6" s="13" t="s">
        <v>210</v>
      </c>
      <c r="E6" s="13" t="s">
        <v>229</v>
      </c>
      <c r="F6" s="13" t="s">
        <v>230</v>
      </c>
      <c r="G6" s="13" t="s">
        <v>231</v>
      </c>
      <c r="H6" s="13" t="n">
        <v>60</v>
      </c>
      <c r="I6" s="4" t="s">
        <v>232</v>
      </c>
    </row>
    <row r="7" customFormat="false" ht="15" hidden="true" customHeight="true" outlineLevel="0" collapsed="false">
      <c r="A7" s="13" t="s">
        <v>233</v>
      </c>
      <c r="B7" s="13" t="s">
        <v>29</v>
      </c>
      <c r="C7" s="13" t="s">
        <v>57</v>
      </c>
      <c r="D7" s="13" t="s">
        <v>210</v>
      </c>
      <c r="E7" s="13" t="s">
        <v>234</v>
      </c>
      <c r="F7" s="13" t="s">
        <v>235</v>
      </c>
      <c r="G7" s="13" t="s">
        <v>236</v>
      </c>
      <c r="H7" s="13" t="n">
        <v>100</v>
      </c>
      <c r="I7" s="4" t="s">
        <v>232</v>
      </c>
    </row>
    <row r="8" customFormat="false" ht="23.25" hidden="true" customHeight="true" outlineLevel="0" collapsed="false">
      <c r="A8" s="13" t="s">
        <v>237</v>
      </c>
      <c r="B8" s="13" t="s">
        <v>29</v>
      </c>
      <c r="C8" s="13" t="s">
        <v>63</v>
      </c>
      <c r="D8" s="13" t="s">
        <v>210</v>
      </c>
      <c r="E8" s="13" t="s">
        <v>238</v>
      </c>
      <c r="F8" s="13" t="s">
        <v>239</v>
      </c>
      <c r="G8" s="13" t="s">
        <v>240</v>
      </c>
      <c r="H8" s="13" t="n">
        <v>75</v>
      </c>
      <c r="I8" s="4" t="s">
        <v>214</v>
      </c>
    </row>
    <row r="9" customFormat="false" ht="23.25" hidden="true" customHeight="true" outlineLevel="0" collapsed="false">
      <c r="A9" s="13" t="s">
        <v>241</v>
      </c>
      <c r="B9" s="13" t="s">
        <v>29</v>
      </c>
      <c r="C9" s="13" t="s">
        <v>63</v>
      </c>
      <c r="D9" s="13" t="s">
        <v>210</v>
      </c>
      <c r="E9" s="13" t="s">
        <v>242</v>
      </c>
      <c r="F9" s="13" t="s">
        <v>243</v>
      </c>
      <c r="G9" s="13" t="s">
        <v>244</v>
      </c>
      <c r="H9" s="13" t="n">
        <v>60</v>
      </c>
      <c r="I9" s="4" t="s">
        <v>214</v>
      </c>
    </row>
    <row r="10" customFormat="false" ht="23.25" hidden="true" customHeight="true" outlineLevel="0" collapsed="false">
      <c r="A10" s="13" t="s">
        <v>245</v>
      </c>
      <c r="B10" s="13" t="s">
        <v>29</v>
      </c>
      <c r="C10" s="13" t="s">
        <v>63</v>
      </c>
      <c r="D10" s="13" t="s">
        <v>210</v>
      </c>
      <c r="E10" s="13" t="s">
        <v>246</v>
      </c>
      <c r="F10" s="13" t="s">
        <v>247</v>
      </c>
      <c r="G10" s="13" t="s">
        <v>248</v>
      </c>
      <c r="H10" s="13" t="n">
        <v>90</v>
      </c>
      <c r="I10" s="4" t="s">
        <v>214</v>
      </c>
    </row>
    <row r="11" customFormat="false" ht="23.25" hidden="true" customHeight="true" outlineLevel="0" collapsed="false">
      <c r="A11" s="13" t="s">
        <v>249</v>
      </c>
      <c r="B11" s="13" t="s">
        <v>29</v>
      </c>
      <c r="C11" s="13" t="s">
        <v>63</v>
      </c>
      <c r="D11" s="13" t="s">
        <v>220</v>
      </c>
      <c r="E11" s="13" t="s">
        <v>250</v>
      </c>
      <c r="F11" s="13" t="s">
        <v>251</v>
      </c>
      <c r="G11" s="13" t="s">
        <v>252</v>
      </c>
      <c r="H11" s="13" t="n">
        <v>0</v>
      </c>
      <c r="I11" s="4" t="s">
        <v>253</v>
      </c>
    </row>
    <row r="12" customFormat="false" ht="15" hidden="true" customHeight="true" outlineLevel="0" collapsed="false">
      <c r="A12" s="13" t="s">
        <v>254</v>
      </c>
      <c r="B12" s="13" t="s">
        <v>29</v>
      </c>
      <c r="C12" s="13" t="s">
        <v>63</v>
      </c>
      <c r="D12" s="13" t="s">
        <v>220</v>
      </c>
      <c r="E12" s="13" t="s">
        <v>255</v>
      </c>
      <c r="F12" s="13" t="s">
        <v>256</v>
      </c>
      <c r="G12" s="13" t="s">
        <v>257</v>
      </c>
      <c r="H12" s="13" t="n">
        <v>60</v>
      </c>
      <c r="I12" s="4" t="s">
        <v>258</v>
      </c>
    </row>
    <row r="13" customFormat="false" ht="15" hidden="true" customHeight="true" outlineLevel="0" collapsed="false">
      <c r="A13" s="13" t="s">
        <v>259</v>
      </c>
      <c r="B13" s="13" t="s">
        <v>29</v>
      </c>
      <c r="C13" s="13" t="s">
        <v>69</v>
      </c>
      <c r="D13" s="13" t="s">
        <v>210</v>
      </c>
      <c r="E13" s="13" t="s">
        <v>260</v>
      </c>
      <c r="F13" s="13" t="s">
        <v>261</v>
      </c>
      <c r="G13" s="13" t="s">
        <v>262</v>
      </c>
      <c r="H13" s="13" t="n">
        <v>30</v>
      </c>
      <c r="I13" s="4" t="s">
        <v>263</v>
      </c>
    </row>
    <row r="14" customFormat="false" ht="23.25" hidden="true" customHeight="true" outlineLevel="0" collapsed="false">
      <c r="A14" s="13" t="s">
        <v>264</v>
      </c>
      <c r="B14" s="13" t="s">
        <v>29</v>
      </c>
      <c r="C14" s="13" t="s">
        <v>69</v>
      </c>
      <c r="D14" s="13" t="s">
        <v>210</v>
      </c>
      <c r="E14" s="13" t="s">
        <v>265</v>
      </c>
      <c r="F14" s="13" t="s">
        <v>266</v>
      </c>
      <c r="G14" s="13" t="s">
        <v>267</v>
      </c>
      <c r="H14" s="13" t="n">
        <v>30</v>
      </c>
      <c r="I14" s="4" t="s">
        <v>263</v>
      </c>
    </row>
    <row r="15" customFormat="false" ht="23.25" hidden="true" customHeight="true" outlineLevel="0" collapsed="false">
      <c r="A15" s="13" t="s">
        <v>268</v>
      </c>
      <c r="B15" s="13" t="s">
        <v>29</v>
      </c>
      <c r="C15" s="13" t="s">
        <v>69</v>
      </c>
      <c r="D15" s="13" t="s">
        <v>220</v>
      </c>
      <c r="E15" s="13" t="s">
        <v>269</v>
      </c>
      <c r="F15" s="13" t="s">
        <v>270</v>
      </c>
      <c r="G15" s="13" t="s">
        <v>271</v>
      </c>
      <c r="H15" s="13" t="n">
        <v>60</v>
      </c>
      <c r="I15" s="4" t="s">
        <v>263</v>
      </c>
    </row>
    <row r="16" customFormat="false" ht="15" hidden="true" customHeight="true" outlineLevel="0" collapsed="false">
      <c r="A16" s="13" t="s">
        <v>272</v>
      </c>
      <c r="B16" s="13" t="s">
        <v>29</v>
      </c>
      <c r="C16" s="13" t="s">
        <v>69</v>
      </c>
      <c r="D16" s="13" t="s">
        <v>210</v>
      </c>
      <c r="E16" s="13" t="s">
        <v>273</v>
      </c>
      <c r="F16" s="13" t="s">
        <v>274</v>
      </c>
      <c r="G16" s="13" t="s">
        <v>275</v>
      </c>
      <c r="H16" s="13" t="n">
        <v>30</v>
      </c>
      <c r="I16" s="4" t="s">
        <v>263</v>
      </c>
    </row>
    <row r="17" customFormat="false" ht="23.25" hidden="false" customHeight="true" outlineLevel="0" collapsed="false">
      <c r="A17" s="13" t="s">
        <v>276</v>
      </c>
      <c r="B17" s="13" t="s">
        <v>33</v>
      </c>
      <c r="C17" s="13" t="s">
        <v>75</v>
      </c>
      <c r="D17" s="13" t="s">
        <v>210</v>
      </c>
      <c r="E17" s="13" t="s">
        <v>277</v>
      </c>
      <c r="F17" s="13" t="s">
        <v>278</v>
      </c>
      <c r="G17" s="13" t="s">
        <v>279</v>
      </c>
      <c r="H17" s="13" t="n">
        <v>60</v>
      </c>
      <c r="I17" s="4" t="s">
        <v>263</v>
      </c>
    </row>
    <row r="18" customFormat="false" ht="23.25" hidden="false" customHeight="true" outlineLevel="0" collapsed="false">
      <c r="A18" s="13" t="s">
        <v>280</v>
      </c>
      <c r="B18" s="13" t="s">
        <v>33</v>
      </c>
      <c r="C18" s="13" t="s">
        <v>75</v>
      </c>
      <c r="D18" s="13" t="s">
        <v>210</v>
      </c>
      <c r="E18" s="13" t="s">
        <v>281</v>
      </c>
      <c r="F18" s="13" t="s">
        <v>282</v>
      </c>
      <c r="G18" s="13" t="s">
        <v>283</v>
      </c>
      <c r="H18" s="13" t="n">
        <v>80</v>
      </c>
      <c r="I18" s="4" t="s">
        <v>263</v>
      </c>
    </row>
    <row r="19" customFormat="false" ht="45.75" hidden="false" customHeight="true" outlineLevel="0" collapsed="false">
      <c r="A19" s="13" t="s">
        <v>284</v>
      </c>
      <c r="B19" s="13" t="s">
        <v>33</v>
      </c>
      <c r="C19" s="13" t="s">
        <v>75</v>
      </c>
      <c r="D19" s="13" t="s">
        <v>210</v>
      </c>
      <c r="E19" s="13" t="s">
        <v>285</v>
      </c>
      <c r="F19" s="13" t="s">
        <v>286</v>
      </c>
      <c r="G19" s="13" t="s">
        <v>287</v>
      </c>
      <c r="H19" s="13" t="n">
        <v>70</v>
      </c>
      <c r="I19" s="4" t="s">
        <v>263</v>
      </c>
    </row>
    <row r="20" customFormat="false" ht="15" hidden="false" customHeight="true" outlineLevel="0" collapsed="false">
      <c r="A20" s="13" t="s">
        <v>288</v>
      </c>
      <c r="B20" s="13" t="s">
        <v>33</v>
      </c>
      <c r="C20" s="13" t="s">
        <v>75</v>
      </c>
      <c r="D20" s="13" t="s">
        <v>220</v>
      </c>
      <c r="E20" s="13" t="s">
        <v>289</v>
      </c>
      <c r="F20" s="13" t="s">
        <v>290</v>
      </c>
      <c r="G20" s="13" t="s">
        <v>291</v>
      </c>
      <c r="H20" s="13" t="n">
        <v>80</v>
      </c>
      <c r="I20" s="4" t="s">
        <v>263</v>
      </c>
    </row>
    <row r="21" customFormat="false" ht="15.75" hidden="false" customHeight="true" outlineLevel="0" collapsed="false">
      <c r="A21" s="13" t="s">
        <v>292</v>
      </c>
      <c r="B21" s="13" t="s">
        <v>33</v>
      </c>
      <c r="C21" s="13" t="s">
        <v>75</v>
      </c>
      <c r="D21" s="13" t="s">
        <v>220</v>
      </c>
      <c r="E21" s="13" t="s">
        <v>293</v>
      </c>
      <c r="F21" s="13" t="s">
        <v>294</v>
      </c>
      <c r="G21" s="13" t="s">
        <v>295</v>
      </c>
      <c r="H21" s="13" t="n">
        <v>80</v>
      </c>
      <c r="I21" s="4" t="s">
        <v>263</v>
      </c>
    </row>
    <row r="22" customFormat="false" ht="15.75" hidden="false" customHeight="true" outlineLevel="0" collapsed="false">
      <c r="A22" s="13" t="s">
        <v>296</v>
      </c>
      <c r="B22" s="13" t="s">
        <v>33</v>
      </c>
      <c r="C22" s="13" t="s">
        <v>79</v>
      </c>
      <c r="D22" s="13" t="s">
        <v>210</v>
      </c>
      <c r="E22" s="13" t="s">
        <v>297</v>
      </c>
      <c r="F22" s="13" t="s">
        <v>298</v>
      </c>
      <c r="G22" s="13" t="s">
        <v>299</v>
      </c>
      <c r="H22" s="13" t="n">
        <v>90</v>
      </c>
      <c r="I22" s="4" t="s">
        <v>300</v>
      </c>
    </row>
    <row r="23" customFormat="false" ht="15.75" hidden="false" customHeight="true" outlineLevel="0" collapsed="false">
      <c r="A23" s="13" t="s">
        <v>301</v>
      </c>
      <c r="B23" s="13" t="s">
        <v>33</v>
      </c>
      <c r="C23" s="13" t="s">
        <v>79</v>
      </c>
      <c r="D23" s="13" t="s">
        <v>210</v>
      </c>
      <c r="E23" s="13" t="s">
        <v>302</v>
      </c>
      <c r="F23" s="13" t="s">
        <v>303</v>
      </c>
      <c r="G23" s="13" t="s">
        <v>304</v>
      </c>
      <c r="H23" s="13" t="n">
        <v>95</v>
      </c>
      <c r="I23" s="4" t="s">
        <v>300</v>
      </c>
    </row>
    <row r="24" customFormat="false" ht="15.75" hidden="false" customHeight="true" outlineLevel="0" collapsed="false">
      <c r="A24" s="13" t="s">
        <v>305</v>
      </c>
      <c r="B24" s="13" t="s">
        <v>33</v>
      </c>
      <c r="C24" s="13" t="s">
        <v>79</v>
      </c>
      <c r="D24" s="13" t="s">
        <v>210</v>
      </c>
      <c r="E24" s="13" t="s">
        <v>306</v>
      </c>
      <c r="F24" s="13" t="s">
        <v>307</v>
      </c>
      <c r="G24" s="13" t="s">
        <v>308</v>
      </c>
      <c r="H24" s="13" t="n">
        <v>80</v>
      </c>
      <c r="I24" s="4" t="s">
        <v>300</v>
      </c>
    </row>
    <row r="25" customFormat="false" ht="15.75" hidden="false" customHeight="true" outlineLevel="0" collapsed="false">
      <c r="A25" s="13" t="s">
        <v>309</v>
      </c>
      <c r="B25" s="13" t="s">
        <v>33</v>
      </c>
      <c r="C25" s="13" t="s">
        <v>79</v>
      </c>
      <c r="D25" s="13" t="s">
        <v>220</v>
      </c>
      <c r="E25" s="13" t="s">
        <v>310</v>
      </c>
      <c r="F25" s="13" t="s">
        <v>311</v>
      </c>
      <c r="G25" s="13" t="s">
        <v>312</v>
      </c>
      <c r="H25" s="13" t="n">
        <v>50</v>
      </c>
      <c r="I25" s="4" t="s">
        <v>300</v>
      </c>
    </row>
    <row r="26" customFormat="false" ht="15.75" hidden="false" customHeight="true" outlineLevel="0" collapsed="false">
      <c r="A26" s="13" t="s">
        <v>313</v>
      </c>
      <c r="B26" s="13" t="s">
        <v>33</v>
      </c>
      <c r="C26" s="13" t="s">
        <v>84</v>
      </c>
      <c r="D26" s="13" t="s">
        <v>210</v>
      </c>
      <c r="E26" s="13" t="s">
        <v>314</v>
      </c>
      <c r="F26" s="13" t="s">
        <v>315</v>
      </c>
      <c r="G26" s="13" t="s">
        <v>316</v>
      </c>
      <c r="H26" s="13" t="n">
        <v>85</v>
      </c>
      <c r="I26" s="4" t="s">
        <v>263</v>
      </c>
    </row>
    <row r="27" customFormat="false" ht="15.75" hidden="false" customHeight="true" outlineLevel="0" collapsed="false">
      <c r="A27" s="13" t="s">
        <v>317</v>
      </c>
      <c r="B27" s="13" t="s">
        <v>33</v>
      </c>
      <c r="C27" s="13" t="s">
        <v>84</v>
      </c>
      <c r="D27" s="13" t="s">
        <v>210</v>
      </c>
      <c r="E27" s="13" t="s">
        <v>318</v>
      </c>
      <c r="F27" s="13" t="s">
        <v>319</v>
      </c>
      <c r="G27" s="13" t="s">
        <v>320</v>
      </c>
      <c r="H27" s="13" t="n">
        <v>90</v>
      </c>
      <c r="I27" s="4" t="s">
        <v>263</v>
      </c>
    </row>
    <row r="28" customFormat="false" ht="15.75" hidden="false" customHeight="true" outlineLevel="0" collapsed="false">
      <c r="A28" s="13" t="s">
        <v>321</v>
      </c>
      <c r="B28" s="13" t="s">
        <v>33</v>
      </c>
      <c r="C28" s="13" t="s">
        <v>84</v>
      </c>
      <c r="D28" s="13" t="s">
        <v>210</v>
      </c>
      <c r="E28" s="13" t="s">
        <v>322</v>
      </c>
      <c r="F28" s="13" t="s">
        <v>323</v>
      </c>
      <c r="G28" s="13" t="s">
        <v>324</v>
      </c>
      <c r="H28" s="13" t="n">
        <v>75</v>
      </c>
      <c r="I28" s="4" t="s">
        <v>263</v>
      </c>
    </row>
    <row r="29" customFormat="false" ht="15.75" hidden="false" customHeight="true" outlineLevel="0" collapsed="false">
      <c r="A29" s="13" t="s">
        <v>325</v>
      </c>
      <c r="B29" s="13" t="s">
        <v>33</v>
      </c>
      <c r="C29" s="13" t="s">
        <v>84</v>
      </c>
      <c r="D29" s="13" t="s">
        <v>210</v>
      </c>
      <c r="E29" s="13" t="s">
        <v>326</v>
      </c>
      <c r="F29" s="13" t="s">
        <v>327</v>
      </c>
      <c r="G29" s="13" t="s">
        <v>328</v>
      </c>
      <c r="H29" s="13" t="n">
        <v>80</v>
      </c>
      <c r="I29" s="4" t="s">
        <v>263</v>
      </c>
    </row>
    <row r="30" customFormat="false" ht="15.75" hidden="true" customHeight="true" outlineLevel="0" collapsed="false">
      <c r="A30" s="13" t="s">
        <v>329</v>
      </c>
      <c r="B30" s="13" t="s">
        <v>37</v>
      </c>
      <c r="C30" s="13" t="s">
        <v>88</v>
      </c>
      <c r="D30" s="13" t="s">
        <v>210</v>
      </c>
      <c r="E30" s="13" t="s">
        <v>330</v>
      </c>
      <c r="F30" s="13" t="s">
        <v>331</v>
      </c>
      <c r="G30" s="13" t="s">
        <v>328</v>
      </c>
      <c r="H30" s="13" t="n">
        <v>85</v>
      </c>
      <c r="I30" s="4" t="s">
        <v>300</v>
      </c>
    </row>
    <row r="31" customFormat="false" ht="15.75" hidden="true" customHeight="true" outlineLevel="0" collapsed="false">
      <c r="A31" s="13" t="s">
        <v>332</v>
      </c>
      <c r="B31" s="13" t="s">
        <v>37</v>
      </c>
      <c r="C31" s="13" t="s">
        <v>88</v>
      </c>
      <c r="D31" s="13" t="s">
        <v>210</v>
      </c>
      <c r="E31" s="13" t="s">
        <v>333</v>
      </c>
      <c r="F31" s="13" t="s">
        <v>334</v>
      </c>
      <c r="G31" s="13" t="s">
        <v>335</v>
      </c>
      <c r="H31" s="13" t="n">
        <v>10</v>
      </c>
      <c r="I31" s="4" t="s">
        <v>300</v>
      </c>
    </row>
    <row r="32" customFormat="false" ht="15.75" hidden="true" customHeight="true" outlineLevel="0" collapsed="false">
      <c r="A32" s="13" t="s">
        <v>336</v>
      </c>
      <c r="B32" s="13" t="s">
        <v>37</v>
      </c>
      <c r="C32" s="13" t="s">
        <v>88</v>
      </c>
      <c r="D32" s="13" t="s">
        <v>210</v>
      </c>
      <c r="E32" s="13" t="s">
        <v>337</v>
      </c>
      <c r="F32" s="13" t="s">
        <v>338</v>
      </c>
      <c r="G32" s="13" t="s">
        <v>339</v>
      </c>
      <c r="H32" s="13" t="n">
        <v>60</v>
      </c>
      <c r="I32" s="4" t="s">
        <v>340</v>
      </c>
    </row>
    <row r="33" customFormat="false" ht="15.75" hidden="true" customHeight="true" outlineLevel="0" collapsed="false">
      <c r="A33" s="13" t="s">
        <v>341</v>
      </c>
      <c r="B33" s="13" t="s">
        <v>37</v>
      </c>
      <c r="C33" s="13" t="s">
        <v>88</v>
      </c>
      <c r="D33" s="13" t="s">
        <v>210</v>
      </c>
      <c r="E33" s="13" t="s">
        <v>342</v>
      </c>
      <c r="F33" s="13" t="s">
        <v>343</v>
      </c>
      <c r="G33" s="13" t="s">
        <v>344</v>
      </c>
      <c r="H33" s="13" t="n">
        <v>50</v>
      </c>
      <c r="I33" s="4" t="s">
        <v>232</v>
      </c>
    </row>
    <row r="34" customFormat="false" ht="15.75" hidden="true" customHeight="true" outlineLevel="0" collapsed="false">
      <c r="A34" s="13" t="s">
        <v>345</v>
      </c>
      <c r="B34" s="13" t="s">
        <v>37</v>
      </c>
      <c r="C34" s="13" t="s">
        <v>88</v>
      </c>
      <c r="D34" s="13" t="s">
        <v>210</v>
      </c>
      <c r="E34" s="13" t="s">
        <v>346</v>
      </c>
      <c r="F34" s="13" t="s">
        <v>347</v>
      </c>
      <c r="G34" s="13" t="s">
        <v>348</v>
      </c>
      <c r="H34" s="13" t="n">
        <v>80</v>
      </c>
      <c r="I34" s="4" t="s">
        <v>300</v>
      </c>
    </row>
    <row r="35" customFormat="false" ht="15.75" hidden="true" customHeight="true" outlineLevel="0" collapsed="false">
      <c r="A35" s="13" t="s">
        <v>349</v>
      </c>
      <c r="B35" s="13" t="s">
        <v>37</v>
      </c>
      <c r="C35" s="13" t="s">
        <v>88</v>
      </c>
      <c r="D35" s="13" t="s">
        <v>210</v>
      </c>
      <c r="E35" s="13" t="s">
        <v>350</v>
      </c>
      <c r="F35" s="13" t="s">
        <v>351</v>
      </c>
      <c r="G35" s="13" t="s">
        <v>352</v>
      </c>
      <c r="H35" s="13" t="n">
        <v>20</v>
      </c>
      <c r="I35" s="4" t="s">
        <v>300</v>
      </c>
    </row>
    <row r="36" customFormat="false" ht="15.75" hidden="true" customHeight="true" outlineLevel="0" collapsed="false">
      <c r="A36" s="13" t="s">
        <v>353</v>
      </c>
      <c r="B36" s="13" t="s">
        <v>37</v>
      </c>
      <c r="C36" s="13" t="s">
        <v>92</v>
      </c>
      <c r="D36" s="13" t="s">
        <v>210</v>
      </c>
      <c r="E36" s="13" t="s">
        <v>354</v>
      </c>
      <c r="F36" s="13" t="s">
        <v>355</v>
      </c>
      <c r="G36" s="13" t="s">
        <v>356</v>
      </c>
      <c r="H36" s="13" t="n">
        <v>80</v>
      </c>
      <c r="I36" s="4" t="s">
        <v>232</v>
      </c>
    </row>
    <row r="37" customFormat="false" ht="15.75" hidden="true" customHeight="true" outlineLevel="0" collapsed="false">
      <c r="A37" s="13" t="s">
        <v>357</v>
      </c>
      <c r="B37" s="13" t="s">
        <v>37</v>
      </c>
      <c r="C37" s="13" t="s">
        <v>92</v>
      </c>
      <c r="D37" s="13" t="s">
        <v>210</v>
      </c>
      <c r="E37" s="13" t="s">
        <v>358</v>
      </c>
      <c r="F37" s="13" t="s">
        <v>359</v>
      </c>
      <c r="G37" s="13" t="s">
        <v>360</v>
      </c>
      <c r="H37" s="13" t="n">
        <v>30</v>
      </c>
      <c r="I37" s="4" t="s">
        <v>232</v>
      </c>
    </row>
    <row r="38" customFormat="false" ht="15.75" hidden="true" customHeight="true" outlineLevel="0" collapsed="false">
      <c r="A38" s="13" t="s">
        <v>361</v>
      </c>
      <c r="B38" s="13" t="s">
        <v>37</v>
      </c>
      <c r="C38" s="13" t="s">
        <v>92</v>
      </c>
      <c r="D38" s="13" t="s">
        <v>210</v>
      </c>
      <c r="E38" s="13" t="s">
        <v>362</v>
      </c>
      <c r="F38" s="13" t="s">
        <v>363</v>
      </c>
      <c r="G38" s="13" t="s">
        <v>364</v>
      </c>
      <c r="H38" s="13" t="n">
        <v>15</v>
      </c>
      <c r="I38" s="4" t="s">
        <v>232</v>
      </c>
    </row>
    <row r="39" customFormat="false" ht="15.75" hidden="true" customHeight="true" outlineLevel="0" collapsed="false">
      <c r="A39" s="13" t="s">
        <v>365</v>
      </c>
      <c r="B39" s="13" t="s">
        <v>37</v>
      </c>
      <c r="C39" s="13" t="s">
        <v>96</v>
      </c>
      <c r="D39" s="13" t="s">
        <v>210</v>
      </c>
      <c r="E39" s="13" t="s">
        <v>366</v>
      </c>
      <c r="F39" s="13" t="s">
        <v>367</v>
      </c>
      <c r="G39" s="13" t="s">
        <v>368</v>
      </c>
      <c r="H39" s="13" t="n">
        <v>90</v>
      </c>
      <c r="I39" s="4" t="s">
        <v>214</v>
      </c>
    </row>
    <row r="40" customFormat="false" ht="15.75" hidden="true" customHeight="true" outlineLevel="0" collapsed="false">
      <c r="A40" s="13" t="s">
        <v>369</v>
      </c>
      <c r="B40" s="13" t="s">
        <v>37</v>
      </c>
      <c r="C40" s="13" t="s">
        <v>96</v>
      </c>
      <c r="D40" s="13" t="s">
        <v>210</v>
      </c>
      <c r="E40" s="13" t="s">
        <v>370</v>
      </c>
      <c r="F40" s="13" t="s">
        <v>371</v>
      </c>
      <c r="G40" s="13" t="s">
        <v>372</v>
      </c>
      <c r="H40" s="13" t="n">
        <v>25</v>
      </c>
      <c r="I40" s="4" t="s">
        <v>214</v>
      </c>
    </row>
    <row r="41" customFormat="false" ht="15.75" hidden="true" customHeight="true" outlineLevel="0" collapsed="false">
      <c r="A41" s="13" t="s">
        <v>373</v>
      </c>
      <c r="B41" s="13" t="s">
        <v>37</v>
      </c>
      <c r="C41" s="13" t="s">
        <v>96</v>
      </c>
      <c r="D41" s="13" t="s">
        <v>210</v>
      </c>
      <c r="E41" s="13" t="s">
        <v>374</v>
      </c>
      <c r="F41" s="13" t="s">
        <v>375</v>
      </c>
      <c r="G41" s="13" t="s">
        <v>376</v>
      </c>
      <c r="H41" s="13" t="n">
        <v>75</v>
      </c>
      <c r="I41" s="4" t="s">
        <v>214</v>
      </c>
    </row>
    <row r="42" customFormat="false" ht="15.75" hidden="true" customHeight="true" outlineLevel="0" collapsed="false">
      <c r="A42" s="13" t="s">
        <v>377</v>
      </c>
      <c r="B42" s="13" t="s">
        <v>37</v>
      </c>
      <c r="C42" s="13" t="s">
        <v>96</v>
      </c>
      <c r="D42" s="13" t="s">
        <v>210</v>
      </c>
      <c r="E42" s="13" t="s">
        <v>378</v>
      </c>
      <c r="F42" s="13" t="s">
        <v>379</v>
      </c>
      <c r="G42" s="13" t="s">
        <v>380</v>
      </c>
      <c r="H42" s="13" t="n">
        <v>55</v>
      </c>
      <c r="I42" s="4" t="s">
        <v>214</v>
      </c>
    </row>
    <row r="43" customFormat="false" ht="15.75" hidden="true" customHeight="true" outlineLevel="0" collapsed="false">
      <c r="A43" s="13" t="s">
        <v>381</v>
      </c>
      <c r="B43" s="13" t="s">
        <v>37</v>
      </c>
      <c r="C43" s="13" t="s">
        <v>96</v>
      </c>
      <c r="D43" s="13" t="s">
        <v>210</v>
      </c>
      <c r="E43" s="13" t="s">
        <v>382</v>
      </c>
      <c r="F43" s="13" t="s">
        <v>383</v>
      </c>
      <c r="G43" s="13" t="s">
        <v>384</v>
      </c>
      <c r="H43" s="13" t="n">
        <v>60</v>
      </c>
      <c r="I43" s="4" t="s">
        <v>232</v>
      </c>
    </row>
    <row r="44" customFormat="false" ht="15.75" hidden="true" customHeight="true" outlineLevel="0" collapsed="false">
      <c r="A44" s="13" t="s">
        <v>385</v>
      </c>
      <c r="B44" s="13" t="s">
        <v>37</v>
      </c>
      <c r="C44" s="13" t="s">
        <v>96</v>
      </c>
      <c r="D44" s="13" t="s">
        <v>210</v>
      </c>
      <c r="E44" s="13" t="s">
        <v>386</v>
      </c>
      <c r="F44" s="13" t="s">
        <v>387</v>
      </c>
      <c r="G44" s="13" t="s">
        <v>388</v>
      </c>
      <c r="H44" s="13" t="n">
        <v>50</v>
      </c>
      <c r="I44" s="4" t="s">
        <v>232</v>
      </c>
    </row>
    <row r="45" customFormat="false" ht="15.75" hidden="true" customHeight="true" outlineLevel="0" collapsed="false">
      <c r="A45" s="13" t="s">
        <v>389</v>
      </c>
      <c r="B45" s="13" t="s">
        <v>37</v>
      </c>
      <c r="C45" s="13" t="s">
        <v>100</v>
      </c>
      <c r="D45" s="13" t="s">
        <v>210</v>
      </c>
      <c r="E45" s="13" t="s">
        <v>390</v>
      </c>
      <c r="F45" s="13" t="s">
        <v>391</v>
      </c>
      <c r="G45" s="13" t="s">
        <v>392</v>
      </c>
      <c r="H45" s="13" t="n">
        <v>40</v>
      </c>
      <c r="I45" s="4" t="s">
        <v>340</v>
      </c>
    </row>
    <row r="46" customFormat="false" ht="15.75" hidden="true" customHeight="true" outlineLevel="0" collapsed="false">
      <c r="A46" s="13" t="s">
        <v>393</v>
      </c>
      <c r="B46" s="13" t="s">
        <v>37</v>
      </c>
      <c r="C46" s="13" t="s">
        <v>100</v>
      </c>
      <c r="D46" s="13" t="s">
        <v>210</v>
      </c>
      <c r="E46" s="13" t="s">
        <v>394</v>
      </c>
      <c r="F46" s="13" t="s">
        <v>395</v>
      </c>
      <c r="G46" s="13" t="s">
        <v>396</v>
      </c>
      <c r="H46" s="13" t="n">
        <v>50</v>
      </c>
      <c r="I46" s="4" t="s">
        <v>340</v>
      </c>
    </row>
    <row r="47" customFormat="false" ht="15.75" hidden="true" customHeight="true" outlineLevel="0" collapsed="false">
      <c r="A47" s="13" t="s">
        <v>397</v>
      </c>
      <c r="B47" s="13" t="s">
        <v>37</v>
      </c>
      <c r="C47" s="13" t="s">
        <v>100</v>
      </c>
      <c r="D47" s="13" t="s">
        <v>220</v>
      </c>
      <c r="E47" s="13" t="s">
        <v>398</v>
      </c>
      <c r="F47" s="13" t="s">
        <v>399</v>
      </c>
      <c r="G47" s="13" t="s">
        <v>400</v>
      </c>
      <c r="H47" s="13" t="n">
        <v>25</v>
      </c>
      <c r="I47" s="4" t="s">
        <v>340</v>
      </c>
    </row>
    <row r="48" customFormat="false" ht="15.75" hidden="true" customHeight="true" outlineLevel="0" collapsed="false">
      <c r="A48" s="13" t="s">
        <v>401</v>
      </c>
      <c r="B48" s="13" t="s">
        <v>37</v>
      </c>
      <c r="C48" s="13" t="s">
        <v>100</v>
      </c>
      <c r="D48" s="13" t="s">
        <v>210</v>
      </c>
      <c r="E48" s="13" t="s">
        <v>402</v>
      </c>
      <c r="F48" s="13" t="s">
        <v>403</v>
      </c>
      <c r="G48" s="13" t="s">
        <v>404</v>
      </c>
      <c r="H48" s="13" t="n">
        <v>70</v>
      </c>
      <c r="I48" s="4" t="s">
        <v>340</v>
      </c>
    </row>
    <row r="49" customFormat="false" ht="15.75" hidden="true" customHeight="true" outlineLevel="0" collapsed="false">
      <c r="A49" s="13" t="s">
        <v>405</v>
      </c>
      <c r="B49" s="13" t="s">
        <v>37</v>
      </c>
      <c r="C49" s="13" t="s">
        <v>100</v>
      </c>
      <c r="D49" s="13" t="s">
        <v>210</v>
      </c>
      <c r="E49" s="13" t="s">
        <v>406</v>
      </c>
      <c r="F49" s="13" t="s">
        <v>407</v>
      </c>
      <c r="G49" s="13" t="s">
        <v>408</v>
      </c>
      <c r="H49" s="13" t="n">
        <v>30</v>
      </c>
      <c r="I49" s="4" t="s">
        <v>340</v>
      </c>
    </row>
    <row r="50" customFormat="false" ht="15.75" hidden="true" customHeight="true" outlineLevel="0" collapsed="false">
      <c r="A50" s="13" t="s">
        <v>409</v>
      </c>
      <c r="B50" s="13" t="s">
        <v>37</v>
      </c>
      <c r="C50" s="13" t="s">
        <v>100</v>
      </c>
      <c r="D50" s="13" t="s">
        <v>210</v>
      </c>
      <c r="E50" s="13" t="s">
        <v>410</v>
      </c>
      <c r="F50" s="13" t="s">
        <v>411</v>
      </c>
      <c r="G50" s="13" t="s">
        <v>412</v>
      </c>
      <c r="H50" s="13" t="n">
        <v>20</v>
      </c>
      <c r="I50" s="4" t="s">
        <v>340</v>
      </c>
    </row>
    <row r="51" customFormat="false" ht="15.75" hidden="true" customHeight="true" outlineLevel="0" collapsed="false">
      <c r="A51" s="13" t="s">
        <v>413</v>
      </c>
      <c r="B51" s="13" t="s">
        <v>37</v>
      </c>
      <c r="C51" s="13" t="s">
        <v>100</v>
      </c>
      <c r="D51" s="13" t="s">
        <v>210</v>
      </c>
      <c r="E51" s="13" t="s">
        <v>414</v>
      </c>
      <c r="F51" s="13" t="s">
        <v>415</v>
      </c>
      <c r="G51" s="13" t="s">
        <v>416</v>
      </c>
      <c r="H51" s="13" t="n">
        <v>60</v>
      </c>
      <c r="I51" s="4" t="s">
        <v>340</v>
      </c>
    </row>
    <row r="52" customFormat="false" ht="15.75" hidden="true" customHeight="true" outlineLevel="0" collapsed="false">
      <c r="A52" s="13" t="s">
        <v>417</v>
      </c>
      <c r="B52" s="13" t="s">
        <v>37</v>
      </c>
      <c r="C52" s="13" t="s">
        <v>105</v>
      </c>
      <c r="D52" s="13" t="s">
        <v>418</v>
      </c>
      <c r="E52" s="13" t="s">
        <v>419</v>
      </c>
      <c r="F52" s="13" t="s">
        <v>420</v>
      </c>
      <c r="G52" s="13" t="s">
        <v>421</v>
      </c>
      <c r="H52" s="13" t="n">
        <v>100</v>
      </c>
      <c r="I52" s="4" t="s">
        <v>340</v>
      </c>
    </row>
    <row r="53" customFormat="false" ht="15.75" hidden="true" customHeight="true" outlineLevel="0" collapsed="false">
      <c r="A53" s="13" t="s">
        <v>422</v>
      </c>
      <c r="B53" s="13" t="s">
        <v>37</v>
      </c>
      <c r="C53" s="13" t="s">
        <v>105</v>
      </c>
      <c r="D53" s="13" t="s">
        <v>418</v>
      </c>
      <c r="E53" s="13" t="s">
        <v>423</v>
      </c>
      <c r="F53" s="13" t="s">
        <v>424</v>
      </c>
      <c r="G53" s="13" t="s">
        <v>425</v>
      </c>
      <c r="H53" s="13" t="n">
        <v>20</v>
      </c>
      <c r="I53" s="4" t="s">
        <v>340</v>
      </c>
    </row>
    <row r="54" customFormat="false" ht="15.75" hidden="true" customHeight="true" outlineLevel="0" collapsed="false">
      <c r="A54" s="13" t="s">
        <v>426</v>
      </c>
      <c r="B54" s="13" t="s">
        <v>37</v>
      </c>
      <c r="C54" s="13" t="s">
        <v>105</v>
      </c>
      <c r="D54" s="13" t="s">
        <v>418</v>
      </c>
      <c r="E54" s="13" t="s">
        <v>427</v>
      </c>
      <c r="F54" s="13" t="s">
        <v>428</v>
      </c>
      <c r="G54" s="13" t="s">
        <v>236</v>
      </c>
      <c r="H54" s="13" t="n">
        <v>100</v>
      </c>
      <c r="I54" s="4" t="s">
        <v>340</v>
      </c>
    </row>
    <row r="55" customFormat="false" ht="15.75" hidden="true" customHeight="true" outlineLevel="0" collapsed="false">
      <c r="A55" s="13" t="s">
        <v>429</v>
      </c>
      <c r="B55" s="13" t="s">
        <v>41</v>
      </c>
      <c r="C55" s="13" t="s">
        <v>110</v>
      </c>
      <c r="D55" s="13" t="s">
        <v>210</v>
      </c>
      <c r="E55" s="13" t="s">
        <v>430</v>
      </c>
      <c r="F55" s="13" t="s">
        <v>431</v>
      </c>
      <c r="G55" s="13" t="s">
        <v>236</v>
      </c>
      <c r="H55" s="13" t="n">
        <v>100</v>
      </c>
      <c r="I55" s="4" t="s">
        <v>258</v>
      </c>
    </row>
    <row r="56" customFormat="false" ht="15.75" hidden="true" customHeight="true" outlineLevel="0" collapsed="false">
      <c r="A56" s="13" t="s">
        <v>432</v>
      </c>
      <c r="B56" s="13" t="s">
        <v>41</v>
      </c>
      <c r="C56" s="13" t="s">
        <v>110</v>
      </c>
      <c r="D56" s="13" t="s">
        <v>210</v>
      </c>
      <c r="E56" s="13" t="s">
        <v>433</v>
      </c>
      <c r="F56" s="13" t="s">
        <v>434</v>
      </c>
      <c r="G56" s="13" t="s">
        <v>435</v>
      </c>
      <c r="H56" s="13" t="n">
        <v>90</v>
      </c>
      <c r="I56" s="4" t="s">
        <v>258</v>
      </c>
    </row>
    <row r="57" customFormat="false" ht="15.75" hidden="true" customHeight="true" outlineLevel="0" collapsed="false">
      <c r="A57" s="13" t="s">
        <v>436</v>
      </c>
      <c r="B57" s="13" t="s">
        <v>41</v>
      </c>
      <c r="C57" s="13" t="s">
        <v>110</v>
      </c>
      <c r="D57" s="13" t="s">
        <v>210</v>
      </c>
      <c r="E57" s="13" t="s">
        <v>437</v>
      </c>
      <c r="F57" s="13" t="s">
        <v>438</v>
      </c>
      <c r="G57" s="13" t="s">
        <v>439</v>
      </c>
      <c r="H57" s="13" t="n">
        <v>50</v>
      </c>
      <c r="I57" s="4" t="s">
        <v>300</v>
      </c>
    </row>
    <row r="58" customFormat="false" ht="15.75" hidden="true" customHeight="true" outlineLevel="0" collapsed="false">
      <c r="A58" s="13" t="s">
        <v>440</v>
      </c>
      <c r="B58" s="13" t="s">
        <v>41</v>
      </c>
      <c r="C58" s="13" t="s">
        <v>110</v>
      </c>
      <c r="D58" s="13" t="s">
        <v>210</v>
      </c>
      <c r="E58" s="13" t="s">
        <v>441</v>
      </c>
      <c r="F58" s="13" t="s">
        <v>442</v>
      </c>
      <c r="G58" s="13" t="s">
        <v>443</v>
      </c>
      <c r="H58" s="13" t="n">
        <v>70</v>
      </c>
      <c r="I58" s="4" t="s">
        <v>253</v>
      </c>
    </row>
    <row r="59" customFormat="false" ht="15.75" hidden="true" customHeight="true" outlineLevel="0" collapsed="false">
      <c r="A59" s="13" t="s">
        <v>444</v>
      </c>
      <c r="B59" s="13" t="s">
        <v>41</v>
      </c>
      <c r="C59" s="13" t="s">
        <v>114</v>
      </c>
      <c r="D59" s="13" t="s">
        <v>210</v>
      </c>
      <c r="E59" s="13" t="s">
        <v>445</v>
      </c>
      <c r="F59" s="13" t="s">
        <v>446</v>
      </c>
      <c r="G59" s="13" t="s">
        <v>447</v>
      </c>
      <c r="H59" s="13" t="n">
        <v>85</v>
      </c>
      <c r="I59" s="4" t="s">
        <v>258</v>
      </c>
    </row>
    <row r="60" customFormat="false" ht="15.75" hidden="true" customHeight="true" outlineLevel="0" collapsed="false">
      <c r="A60" s="13" t="s">
        <v>448</v>
      </c>
      <c r="B60" s="13" t="s">
        <v>41</v>
      </c>
      <c r="C60" s="13" t="s">
        <v>114</v>
      </c>
      <c r="D60" s="13" t="s">
        <v>210</v>
      </c>
      <c r="E60" s="13" t="s">
        <v>449</v>
      </c>
      <c r="F60" s="13" t="s">
        <v>450</v>
      </c>
      <c r="G60" s="13" t="s">
        <v>451</v>
      </c>
      <c r="H60" s="13" t="n">
        <v>90</v>
      </c>
      <c r="I60" s="4" t="s">
        <v>258</v>
      </c>
    </row>
    <row r="61" customFormat="false" ht="15.75" hidden="true" customHeight="true" outlineLevel="0" collapsed="false">
      <c r="A61" s="13" t="s">
        <v>452</v>
      </c>
      <c r="B61" s="13" t="s">
        <v>41</v>
      </c>
      <c r="C61" s="13" t="s">
        <v>114</v>
      </c>
      <c r="D61" s="13" t="s">
        <v>210</v>
      </c>
      <c r="E61" s="13" t="s">
        <v>453</v>
      </c>
      <c r="F61" s="13" t="s">
        <v>454</v>
      </c>
      <c r="G61" s="13" t="s">
        <v>455</v>
      </c>
      <c r="H61" s="13" t="n">
        <v>96</v>
      </c>
      <c r="I61" s="4" t="s">
        <v>258</v>
      </c>
    </row>
    <row r="62" customFormat="false" ht="15.75" hidden="true" customHeight="true" outlineLevel="0" collapsed="false">
      <c r="A62" s="13" t="s">
        <v>456</v>
      </c>
      <c r="B62" s="13" t="s">
        <v>41</v>
      </c>
      <c r="C62" s="13" t="s">
        <v>118</v>
      </c>
      <c r="D62" s="13" t="s">
        <v>210</v>
      </c>
      <c r="E62" s="13" t="s">
        <v>457</v>
      </c>
      <c r="F62" s="13" t="s">
        <v>458</v>
      </c>
      <c r="G62" s="13" t="s">
        <v>459</v>
      </c>
      <c r="H62" s="13" t="n">
        <v>60</v>
      </c>
      <c r="I62" s="4" t="s">
        <v>258</v>
      </c>
    </row>
    <row r="63" customFormat="false" ht="15.75" hidden="true" customHeight="true" outlineLevel="0" collapsed="false">
      <c r="A63" s="13" t="s">
        <v>460</v>
      </c>
      <c r="B63" s="13" t="s">
        <v>41</v>
      </c>
      <c r="C63" s="13" t="s">
        <v>122</v>
      </c>
      <c r="D63" s="13" t="s">
        <v>210</v>
      </c>
      <c r="E63" s="13" t="s">
        <v>461</v>
      </c>
      <c r="F63" s="13" t="s">
        <v>462</v>
      </c>
      <c r="G63" s="13" t="s">
        <v>463</v>
      </c>
      <c r="H63" s="13" t="n">
        <v>25</v>
      </c>
      <c r="I63" s="4" t="s">
        <v>232</v>
      </c>
    </row>
    <row r="64" customFormat="false" ht="15.75" hidden="true" customHeight="true" outlineLevel="0" collapsed="false">
      <c r="A64" s="13" t="s">
        <v>464</v>
      </c>
      <c r="B64" s="13" t="s">
        <v>41</v>
      </c>
      <c r="C64" s="13" t="s">
        <v>122</v>
      </c>
      <c r="D64" s="13" t="s">
        <v>220</v>
      </c>
      <c r="E64" s="13" t="s">
        <v>465</v>
      </c>
      <c r="F64" s="13" t="s">
        <v>466</v>
      </c>
      <c r="G64" s="13" t="s">
        <v>467</v>
      </c>
      <c r="H64" s="13" t="n">
        <v>40</v>
      </c>
      <c r="I64" s="4" t="s">
        <v>232</v>
      </c>
    </row>
    <row r="65" customFormat="false" ht="15.75" hidden="true" customHeight="true" outlineLevel="0" collapsed="false">
      <c r="A65" s="13" t="s">
        <v>468</v>
      </c>
      <c r="B65" s="13" t="s">
        <v>41</v>
      </c>
      <c r="C65" s="13" t="s">
        <v>122</v>
      </c>
      <c r="D65" s="13" t="s">
        <v>220</v>
      </c>
      <c r="E65" s="13" t="s">
        <v>469</v>
      </c>
      <c r="F65" s="13" t="s">
        <v>470</v>
      </c>
      <c r="G65" s="13" t="s">
        <v>471</v>
      </c>
      <c r="H65" s="13" t="n">
        <v>50</v>
      </c>
      <c r="I65" s="4" t="s">
        <v>232</v>
      </c>
    </row>
    <row r="66" customFormat="false" ht="15.75" hidden="true" customHeight="true" outlineLevel="0" collapsed="false">
      <c r="A66" s="13" t="s">
        <v>472</v>
      </c>
      <c r="B66" s="13" t="s">
        <v>41</v>
      </c>
      <c r="C66" s="13" t="s">
        <v>122</v>
      </c>
      <c r="D66" s="13" t="s">
        <v>220</v>
      </c>
      <c r="E66" s="13" t="s">
        <v>473</v>
      </c>
      <c r="F66" s="13" t="s">
        <v>236</v>
      </c>
      <c r="G66" s="13" t="s">
        <v>474</v>
      </c>
      <c r="H66" s="13" t="n">
        <v>0</v>
      </c>
      <c r="I66" s="4" t="s">
        <v>232</v>
      </c>
    </row>
    <row r="67" customFormat="false" ht="15.75" hidden="true" customHeight="true" outlineLevel="0" collapsed="false">
      <c r="A67" s="13" t="s">
        <v>475</v>
      </c>
      <c r="B67" s="13" t="s">
        <v>41</v>
      </c>
      <c r="C67" s="13" t="s">
        <v>127</v>
      </c>
      <c r="D67" s="13" t="s">
        <v>210</v>
      </c>
      <c r="E67" s="13" t="s">
        <v>476</v>
      </c>
      <c r="F67" s="13" t="s">
        <v>477</v>
      </c>
      <c r="G67" s="13" t="s">
        <v>478</v>
      </c>
      <c r="H67" s="13" t="n">
        <v>55</v>
      </c>
      <c r="I67" s="4" t="s">
        <v>214</v>
      </c>
    </row>
    <row r="68" customFormat="false" ht="15.75" hidden="true" customHeight="true" outlineLevel="0" collapsed="false">
      <c r="A68" s="13" t="s">
        <v>479</v>
      </c>
      <c r="B68" s="13" t="s">
        <v>41</v>
      </c>
      <c r="C68" s="13" t="s">
        <v>127</v>
      </c>
      <c r="D68" s="13" t="s">
        <v>220</v>
      </c>
      <c r="E68" s="13" t="s">
        <v>480</v>
      </c>
      <c r="F68" s="13" t="s">
        <v>481</v>
      </c>
      <c r="G68" s="13" t="s">
        <v>482</v>
      </c>
      <c r="H68" s="13" t="n">
        <v>20</v>
      </c>
      <c r="I68" s="4" t="s">
        <v>214</v>
      </c>
    </row>
    <row r="69" customFormat="false" ht="15.75" hidden="true" customHeight="true" outlineLevel="0" collapsed="false">
      <c r="A69" s="13" t="s">
        <v>483</v>
      </c>
      <c r="B69" s="13" t="s">
        <v>41</v>
      </c>
      <c r="C69" s="13" t="s">
        <v>127</v>
      </c>
      <c r="D69" s="13" t="s">
        <v>220</v>
      </c>
      <c r="E69" s="13" t="s">
        <v>484</v>
      </c>
      <c r="F69" s="13" t="s">
        <v>485</v>
      </c>
      <c r="G69" s="13" t="s">
        <v>486</v>
      </c>
      <c r="H69" s="13" t="n">
        <v>20</v>
      </c>
      <c r="I69" s="4" t="s">
        <v>263</v>
      </c>
    </row>
    <row r="70" customFormat="false" ht="15.75" hidden="true" customHeight="true" outlineLevel="0" collapsed="false">
      <c r="A70" s="13" t="s">
        <v>487</v>
      </c>
      <c r="B70" s="13" t="s">
        <v>41</v>
      </c>
      <c r="C70" s="13" t="s">
        <v>132</v>
      </c>
      <c r="D70" s="13" t="s">
        <v>210</v>
      </c>
      <c r="E70" s="13" t="s">
        <v>488</v>
      </c>
      <c r="F70" s="13" t="s">
        <v>134</v>
      </c>
      <c r="G70" s="13" t="s">
        <v>489</v>
      </c>
      <c r="H70" s="13" t="n">
        <v>10</v>
      </c>
      <c r="I70" s="4" t="s">
        <v>340</v>
      </c>
    </row>
    <row r="71" customFormat="false" ht="15.75" hidden="true" customHeight="true" outlineLevel="0" collapsed="false">
      <c r="A71" s="13" t="s">
        <v>490</v>
      </c>
      <c r="B71" s="13" t="s">
        <v>41</v>
      </c>
      <c r="C71" s="13" t="s">
        <v>132</v>
      </c>
      <c r="D71" s="13" t="s">
        <v>210</v>
      </c>
      <c r="E71" s="13" t="s">
        <v>491</v>
      </c>
      <c r="F71" s="13" t="s">
        <v>492</v>
      </c>
      <c r="G71" s="13" t="s">
        <v>493</v>
      </c>
      <c r="H71" s="13" t="n">
        <v>10</v>
      </c>
      <c r="I71" s="4" t="s">
        <v>340</v>
      </c>
    </row>
    <row r="72" customFormat="false" ht="15.75" hidden="true" customHeight="true" outlineLevel="0" collapsed="false">
      <c r="A72" s="13" t="s">
        <v>494</v>
      </c>
      <c r="B72" s="13" t="s">
        <v>41</v>
      </c>
      <c r="C72" s="13" t="s">
        <v>132</v>
      </c>
      <c r="D72" s="13" t="s">
        <v>210</v>
      </c>
      <c r="E72" s="13" t="s">
        <v>495</v>
      </c>
      <c r="F72" s="13" t="s">
        <v>496</v>
      </c>
      <c r="G72" s="13" t="s">
        <v>497</v>
      </c>
      <c r="H72" s="13" t="n">
        <v>10</v>
      </c>
      <c r="I72" s="4" t="s">
        <v>340</v>
      </c>
    </row>
    <row r="73" customFormat="false" ht="15.75" hidden="true" customHeight="true" outlineLevel="0" collapsed="false">
      <c r="A73" s="13" t="s">
        <v>498</v>
      </c>
      <c r="B73" s="13" t="s">
        <v>41</v>
      </c>
      <c r="C73" s="13" t="s">
        <v>136</v>
      </c>
      <c r="D73" s="13" t="s">
        <v>418</v>
      </c>
      <c r="E73" s="13" t="s">
        <v>499</v>
      </c>
      <c r="F73" s="13" t="s">
        <v>138</v>
      </c>
      <c r="G73" s="13" t="s">
        <v>500</v>
      </c>
      <c r="H73" s="13" t="n">
        <v>20</v>
      </c>
      <c r="I73" s="4" t="s">
        <v>501</v>
      </c>
    </row>
    <row r="74" customFormat="false" ht="15.75" hidden="true" customHeight="true" outlineLevel="0" collapsed="false">
      <c r="A74" s="13" t="s">
        <v>502</v>
      </c>
      <c r="B74" s="13" t="s">
        <v>45</v>
      </c>
      <c r="C74" s="13" t="s">
        <v>140</v>
      </c>
      <c r="D74" s="13" t="s">
        <v>210</v>
      </c>
      <c r="E74" s="13" t="s">
        <v>503</v>
      </c>
      <c r="F74" s="13" t="s">
        <v>504</v>
      </c>
      <c r="G74" s="13" t="s">
        <v>505</v>
      </c>
      <c r="H74" s="13" t="n">
        <v>80</v>
      </c>
      <c r="I74" s="4" t="s">
        <v>300</v>
      </c>
    </row>
    <row r="75" customFormat="false" ht="15.75" hidden="true" customHeight="true" outlineLevel="0" collapsed="false">
      <c r="A75" s="13" t="s">
        <v>506</v>
      </c>
      <c r="B75" s="13" t="s">
        <v>45</v>
      </c>
      <c r="C75" s="13" t="s">
        <v>140</v>
      </c>
      <c r="D75" s="13" t="s">
        <v>210</v>
      </c>
      <c r="E75" s="13" t="s">
        <v>507</v>
      </c>
      <c r="F75" s="13" t="s">
        <v>508</v>
      </c>
      <c r="G75" s="13" t="s">
        <v>509</v>
      </c>
      <c r="H75" s="13" t="n">
        <v>50</v>
      </c>
      <c r="I75" s="4" t="s">
        <v>300</v>
      </c>
    </row>
    <row r="76" customFormat="false" ht="15.75" hidden="true" customHeight="true" outlineLevel="0" collapsed="false">
      <c r="A76" s="13" t="s">
        <v>510</v>
      </c>
      <c r="B76" s="13" t="s">
        <v>45</v>
      </c>
      <c r="C76" s="13" t="s">
        <v>140</v>
      </c>
      <c r="D76" s="13" t="s">
        <v>220</v>
      </c>
      <c r="E76" s="13" t="s">
        <v>511</v>
      </c>
      <c r="F76" s="13" t="s">
        <v>512</v>
      </c>
      <c r="G76" s="13" t="s">
        <v>513</v>
      </c>
      <c r="H76" s="13" t="n">
        <v>10</v>
      </c>
      <c r="I76" s="4" t="s">
        <v>300</v>
      </c>
    </row>
    <row r="77" customFormat="false" ht="15.75" hidden="true" customHeight="true" outlineLevel="0" collapsed="false">
      <c r="A77" s="13" t="s">
        <v>514</v>
      </c>
      <c r="B77" s="13" t="s">
        <v>45</v>
      </c>
      <c r="C77" s="13" t="s">
        <v>145</v>
      </c>
      <c r="D77" s="13" t="s">
        <v>210</v>
      </c>
      <c r="E77" s="13" t="s">
        <v>515</v>
      </c>
      <c r="F77" s="13" t="s">
        <v>516</v>
      </c>
      <c r="G77" s="13" t="s">
        <v>517</v>
      </c>
      <c r="H77" s="13" t="n">
        <v>70</v>
      </c>
      <c r="I77" s="4" t="s">
        <v>340</v>
      </c>
    </row>
    <row r="78" customFormat="false" ht="15.75" hidden="true" customHeight="true" outlineLevel="0" collapsed="false">
      <c r="A78" s="13" t="s">
        <v>518</v>
      </c>
      <c r="B78" s="13" t="s">
        <v>45</v>
      </c>
      <c r="C78" s="13" t="s">
        <v>145</v>
      </c>
      <c r="D78" s="13" t="s">
        <v>210</v>
      </c>
      <c r="E78" s="13" t="s">
        <v>519</v>
      </c>
      <c r="F78" s="13" t="s">
        <v>520</v>
      </c>
      <c r="G78" s="13" t="s">
        <v>521</v>
      </c>
      <c r="H78" s="13" t="n">
        <v>50</v>
      </c>
      <c r="I78" s="4" t="s">
        <v>340</v>
      </c>
    </row>
    <row r="79" customFormat="false" ht="15.75" hidden="true" customHeight="true" outlineLevel="0" collapsed="false">
      <c r="A79" s="13" t="s">
        <v>522</v>
      </c>
      <c r="B79" s="13" t="s">
        <v>45</v>
      </c>
      <c r="C79" s="13" t="s">
        <v>149</v>
      </c>
      <c r="D79" s="13" t="s">
        <v>210</v>
      </c>
      <c r="E79" s="13" t="s">
        <v>523</v>
      </c>
      <c r="F79" s="13" t="s">
        <v>152</v>
      </c>
      <c r="G79" s="13" t="s">
        <v>524</v>
      </c>
      <c r="H79" s="13" t="n">
        <v>75</v>
      </c>
      <c r="I79" s="4" t="s">
        <v>214</v>
      </c>
    </row>
    <row r="80" customFormat="false" ht="15.75" hidden="true" customHeight="true" outlineLevel="0" collapsed="false">
      <c r="A80" s="13" t="s">
        <v>525</v>
      </c>
      <c r="B80" s="13" t="s">
        <v>45</v>
      </c>
      <c r="C80" s="13" t="s">
        <v>149</v>
      </c>
      <c r="D80" s="13" t="s">
        <v>220</v>
      </c>
      <c r="E80" s="13" t="s">
        <v>526</v>
      </c>
      <c r="F80" s="13" t="s">
        <v>527</v>
      </c>
      <c r="G80" s="13" t="s">
        <v>528</v>
      </c>
      <c r="H80" s="13" t="n">
        <v>30</v>
      </c>
      <c r="I80" s="4" t="s">
        <v>501</v>
      </c>
    </row>
    <row r="81" customFormat="false" ht="15.75" hidden="true" customHeight="true" outlineLevel="0" collapsed="false">
      <c r="A81" s="13" t="s">
        <v>529</v>
      </c>
      <c r="B81" s="13" t="s">
        <v>45</v>
      </c>
      <c r="C81" s="13" t="s">
        <v>149</v>
      </c>
      <c r="D81" s="13" t="s">
        <v>220</v>
      </c>
      <c r="E81" s="13" t="s">
        <v>530</v>
      </c>
      <c r="F81" s="13" t="s">
        <v>531</v>
      </c>
      <c r="G81" s="13" t="s">
        <v>532</v>
      </c>
      <c r="H81" s="13" t="n">
        <v>40</v>
      </c>
      <c r="I81" s="4" t="s">
        <v>214</v>
      </c>
    </row>
    <row r="82" customFormat="false" ht="15.75" hidden="true" customHeight="true" outlineLevel="0" collapsed="false">
      <c r="A82" s="13" t="s">
        <v>533</v>
      </c>
      <c r="B82" s="13" t="s">
        <v>45</v>
      </c>
      <c r="C82" s="13" t="s">
        <v>154</v>
      </c>
      <c r="D82" s="13" t="s">
        <v>210</v>
      </c>
      <c r="E82" s="13" t="s">
        <v>534</v>
      </c>
      <c r="F82" s="13" t="s">
        <v>535</v>
      </c>
      <c r="G82" s="13" t="s">
        <v>536</v>
      </c>
      <c r="H82" s="13" t="n">
        <v>50</v>
      </c>
      <c r="I82" s="4" t="s">
        <v>340</v>
      </c>
    </row>
    <row r="83" customFormat="false" ht="15.75" hidden="true" customHeight="true" outlineLevel="0" collapsed="false">
      <c r="A83" s="13" t="s">
        <v>537</v>
      </c>
      <c r="B83" s="13" t="s">
        <v>45</v>
      </c>
      <c r="C83" s="13" t="s">
        <v>159</v>
      </c>
      <c r="D83" s="13" t="s">
        <v>220</v>
      </c>
      <c r="E83" s="13" t="s">
        <v>538</v>
      </c>
      <c r="F83" s="13" t="s">
        <v>539</v>
      </c>
      <c r="G83" s="13" t="s">
        <v>540</v>
      </c>
      <c r="H83" s="13" t="n">
        <v>50</v>
      </c>
      <c r="I83" s="4" t="s">
        <v>300</v>
      </c>
    </row>
    <row r="84" customFormat="false" ht="15.75" hidden="true" customHeight="true" outlineLevel="0" collapsed="false">
      <c r="A84" s="13" t="s">
        <v>541</v>
      </c>
      <c r="B84" s="13" t="s">
        <v>45</v>
      </c>
      <c r="C84" s="13" t="s">
        <v>159</v>
      </c>
      <c r="D84" s="13" t="s">
        <v>220</v>
      </c>
      <c r="E84" s="13" t="s">
        <v>542</v>
      </c>
      <c r="F84" s="13" t="s">
        <v>543</v>
      </c>
      <c r="G84" s="13" t="s">
        <v>544</v>
      </c>
      <c r="H84" s="13" t="n">
        <v>60</v>
      </c>
      <c r="I84" s="4" t="s">
        <v>300</v>
      </c>
    </row>
    <row r="85" customFormat="false" ht="15.75" hidden="true" customHeight="true" outlineLevel="0" collapsed="false">
      <c r="A85" s="13" t="s">
        <v>545</v>
      </c>
      <c r="B85" s="13" t="s">
        <v>45</v>
      </c>
      <c r="C85" s="13" t="s">
        <v>159</v>
      </c>
      <c r="D85" s="13" t="s">
        <v>220</v>
      </c>
      <c r="E85" s="13" t="s">
        <v>546</v>
      </c>
      <c r="F85" s="13" t="s">
        <v>547</v>
      </c>
      <c r="G85" s="13" t="s">
        <v>548</v>
      </c>
      <c r="H85" s="13" t="n">
        <v>10</v>
      </c>
      <c r="I85" s="4" t="s">
        <v>300</v>
      </c>
    </row>
    <row r="86" customFormat="false" ht="15.75" hidden="true" customHeight="true" outlineLevel="0" collapsed="false">
      <c r="A86" s="13" t="s">
        <v>549</v>
      </c>
      <c r="B86" s="13" t="s">
        <v>45</v>
      </c>
      <c r="C86" s="13" t="s">
        <v>163</v>
      </c>
      <c r="D86" s="13" t="s">
        <v>220</v>
      </c>
      <c r="E86" s="13" t="s">
        <v>550</v>
      </c>
      <c r="F86" s="13" t="s">
        <v>165</v>
      </c>
      <c r="G86" s="13" t="s">
        <v>551</v>
      </c>
      <c r="H86" s="13" t="n">
        <v>50</v>
      </c>
      <c r="I86" s="4" t="s">
        <v>340</v>
      </c>
    </row>
    <row r="87" customFormat="false" ht="15.75" hidden="true" customHeight="true" outlineLevel="0" collapsed="false">
      <c r="A87" s="13" t="s">
        <v>552</v>
      </c>
      <c r="B87" s="13" t="s">
        <v>45</v>
      </c>
      <c r="C87" s="13" t="s">
        <v>163</v>
      </c>
      <c r="D87" s="13" t="s">
        <v>220</v>
      </c>
      <c r="E87" s="13" t="s">
        <v>553</v>
      </c>
      <c r="F87" s="13" t="s">
        <v>554</v>
      </c>
      <c r="G87" s="13" t="s">
        <v>555</v>
      </c>
      <c r="H87" s="13" t="n">
        <v>40</v>
      </c>
      <c r="I87" s="4" t="s">
        <v>340</v>
      </c>
    </row>
    <row r="88" customFormat="false" ht="15.75" hidden="true" customHeight="true" outlineLevel="0" collapsed="false">
      <c r="A88" s="13" t="s">
        <v>556</v>
      </c>
      <c r="B88" s="13" t="s">
        <v>45</v>
      </c>
      <c r="C88" s="13" t="s">
        <v>167</v>
      </c>
      <c r="D88" s="13" t="s">
        <v>220</v>
      </c>
      <c r="E88" s="13" t="s">
        <v>557</v>
      </c>
      <c r="F88" s="13" t="s">
        <v>558</v>
      </c>
      <c r="G88" s="13" t="s">
        <v>559</v>
      </c>
      <c r="H88" s="13" t="n">
        <v>30</v>
      </c>
      <c r="I88" s="4" t="s">
        <v>501</v>
      </c>
    </row>
    <row r="89" customFormat="false" ht="15.75" hidden="true" customHeight="true" outlineLevel="0" collapsed="false">
      <c r="A89" s="13" t="s">
        <v>560</v>
      </c>
      <c r="B89" s="13" t="s">
        <v>45</v>
      </c>
      <c r="C89" s="13" t="s">
        <v>167</v>
      </c>
      <c r="D89" s="13" t="s">
        <v>220</v>
      </c>
      <c r="E89" s="13" t="s">
        <v>561</v>
      </c>
      <c r="F89" s="13" t="s">
        <v>562</v>
      </c>
      <c r="G89" s="13" t="s">
        <v>563</v>
      </c>
      <c r="H89" s="13" t="n">
        <v>50</v>
      </c>
      <c r="I89" s="4" t="s">
        <v>501</v>
      </c>
    </row>
    <row r="90" customFormat="false" ht="15.75" hidden="true" customHeight="true" outlineLevel="0" collapsed="false">
      <c r="A90" s="13" t="s">
        <v>564</v>
      </c>
      <c r="B90" s="13" t="s">
        <v>45</v>
      </c>
      <c r="C90" s="13" t="s">
        <v>167</v>
      </c>
      <c r="D90" s="13" t="s">
        <v>220</v>
      </c>
      <c r="E90" s="13" t="s">
        <v>565</v>
      </c>
      <c r="F90" s="13" t="s">
        <v>566</v>
      </c>
      <c r="G90" s="13" t="s">
        <v>567</v>
      </c>
      <c r="H90" s="13" t="n">
        <v>10</v>
      </c>
      <c r="I90" s="4" t="s">
        <v>501</v>
      </c>
    </row>
    <row r="91" customFormat="false" ht="15.75" hidden="true" customHeight="true" outlineLevel="0" collapsed="false">
      <c r="A91" s="13" t="s">
        <v>568</v>
      </c>
      <c r="B91" s="13" t="s">
        <v>45</v>
      </c>
      <c r="C91" s="13" t="s">
        <v>171</v>
      </c>
      <c r="D91" s="13" t="s">
        <v>418</v>
      </c>
      <c r="E91" s="13" t="s">
        <v>569</v>
      </c>
      <c r="F91" s="13" t="s">
        <v>570</v>
      </c>
      <c r="G91" s="13" t="s">
        <v>571</v>
      </c>
      <c r="H91" s="13" t="n">
        <v>100</v>
      </c>
      <c r="I91" s="4" t="s">
        <v>253</v>
      </c>
    </row>
    <row r="92" customFormat="false" ht="15.75" hidden="true" customHeight="true" outlineLevel="0" collapsed="false">
      <c r="A92" s="13" t="s">
        <v>572</v>
      </c>
      <c r="B92" s="13" t="s">
        <v>45</v>
      </c>
      <c r="C92" s="13" t="s">
        <v>171</v>
      </c>
      <c r="D92" s="13" t="s">
        <v>418</v>
      </c>
      <c r="E92" s="13" t="s">
        <v>573</v>
      </c>
      <c r="F92" s="13" t="s">
        <v>574</v>
      </c>
      <c r="G92" s="13" t="s">
        <v>575</v>
      </c>
      <c r="H92" s="13" t="n">
        <v>10</v>
      </c>
      <c r="I92" s="4" t="s">
        <v>300</v>
      </c>
    </row>
    <row r="93" customFormat="false" ht="15.75" hidden="true" customHeight="true" outlineLevel="0" collapsed="false">
      <c r="A93" s="13" t="s">
        <v>576</v>
      </c>
      <c r="B93" s="13" t="s">
        <v>45</v>
      </c>
      <c r="C93" s="13" t="s">
        <v>171</v>
      </c>
      <c r="D93" s="13" t="s">
        <v>418</v>
      </c>
      <c r="E93" s="13" t="s">
        <v>577</v>
      </c>
      <c r="F93" s="13" t="s">
        <v>578</v>
      </c>
      <c r="G93" s="13" t="s">
        <v>579</v>
      </c>
      <c r="H93" s="13" t="n">
        <v>10</v>
      </c>
      <c r="I93" s="4" t="s">
        <v>300</v>
      </c>
    </row>
    <row r="94" customFormat="false" ht="15.75" hidden="true" customHeight="true" outlineLevel="0" collapsed="false">
      <c r="A94" s="13" t="s">
        <v>580</v>
      </c>
      <c r="B94" s="13" t="s">
        <v>49</v>
      </c>
      <c r="C94" s="13" t="s">
        <v>175</v>
      </c>
      <c r="D94" s="13" t="s">
        <v>210</v>
      </c>
      <c r="E94" s="13" t="s">
        <v>581</v>
      </c>
      <c r="F94" s="13" t="s">
        <v>582</v>
      </c>
      <c r="G94" s="13" t="s">
        <v>583</v>
      </c>
      <c r="H94" s="13" t="n">
        <v>20</v>
      </c>
      <c r="I94" s="4" t="s">
        <v>253</v>
      </c>
    </row>
    <row r="95" customFormat="false" ht="15.75" hidden="true" customHeight="true" outlineLevel="0" collapsed="false">
      <c r="A95" s="13" t="s">
        <v>584</v>
      </c>
      <c r="B95" s="13" t="s">
        <v>49</v>
      </c>
      <c r="C95" s="13" t="s">
        <v>175</v>
      </c>
      <c r="D95" s="13" t="s">
        <v>210</v>
      </c>
      <c r="E95" s="13" t="s">
        <v>585</v>
      </c>
      <c r="F95" s="13" t="s">
        <v>586</v>
      </c>
      <c r="G95" s="13"/>
      <c r="H95" s="13" t="n">
        <v>100</v>
      </c>
      <c r="I95" s="4" t="s">
        <v>253</v>
      </c>
    </row>
    <row r="96" customFormat="false" ht="15.75" hidden="true" customHeight="true" outlineLevel="0" collapsed="false">
      <c r="A96" s="13" t="s">
        <v>587</v>
      </c>
      <c r="B96" s="13" t="s">
        <v>49</v>
      </c>
      <c r="C96" s="13" t="s">
        <v>175</v>
      </c>
      <c r="D96" s="13" t="s">
        <v>210</v>
      </c>
      <c r="E96" s="13" t="s">
        <v>588</v>
      </c>
      <c r="F96" s="13" t="s">
        <v>589</v>
      </c>
      <c r="G96" s="13" t="s">
        <v>590</v>
      </c>
      <c r="H96" s="13" t="n">
        <v>95</v>
      </c>
      <c r="I96" s="4" t="s">
        <v>253</v>
      </c>
    </row>
    <row r="97" customFormat="false" ht="15.75" hidden="true" customHeight="true" outlineLevel="0" collapsed="false">
      <c r="A97" s="13" t="s">
        <v>591</v>
      </c>
      <c r="B97" s="13" t="s">
        <v>49</v>
      </c>
      <c r="C97" s="13" t="s">
        <v>179</v>
      </c>
      <c r="D97" s="13" t="s">
        <v>210</v>
      </c>
      <c r="E97" s="13" t="s">
        <v>592</v>
      </c>
      <c r="F97" s="13" t="s">
        <v>593</v>
      </c>
      <c r="G97" s="13"/>
      <c r="H97" s="13" t="n">
        <v>100</v>
      </c>
      <c r="I97" s="4" t="s">
        <v>253</v>
      </c>
    </row>
    <row r="98" customFormat="false" ht="15.75" hidden="true" customHeight="true" outlineLevel="0" collapsed="false">
      <c r="A98" s="13" t="s">
        <v>594</v>
      </c>
      <c r="B98" s="13" t="s">
        <v>49</v>
      </c>
      <c r="C98" s="13" t="s">
        <v>179</v>
      </c>
      <c r="D98" s="13" t="s">
        <v>210</v>
      </c>
      <c r="E98" s="13" t="s">
        <v>595</v>
      </c>
      <c r="F98" s="13" t="s">
        <v>596</v>
      </c>
      <c r="G98" s="13" t="s">
        <v>597</v>
      </c>
      <c r="H98" s="13" t="n">
        <v>80</v>
      </c>
      <c r="I98" s="4" t="s">
        <v>253</v>
      </c>
    </row>
    <row r="99" customFormat="false" ht="15.75" hidden="true" customHeight="true" outlineLevel="0" collapsed="false">
      <c r="A99" s="13" t="s">
        <v>598</v>
      </c>
      <c r="B99" s="13" t="s">
        <v>49</v>
      </c>
      <c r="C99" s="13" t="s">
        <v>179</v>
      </c>
      <c r="D99" s="13" t="s">
        <v>210</v>
      </c>
      <c r="E99" s="13" t="s">
        <v>599</v>
      </c>
      <c r="F99" s="13" t="s">
        <v>600</v>
      </c>
      <c r="G99" s="13" t="s">
        <v>601</v>
      </c>
      <c r="H99" s="13" t="n">
        <v>90</v>
      </c>
      <c r="I99" s="4" t="s">
        <v>253</v>
      </c>
    </row>
    <row r="100" customFormat="false" ht="15.75" hidden="true" customHeight="true" outlineLevel="0" collapsed="false">
      <c r="A100" s="13" t="s">
        <v>602</v>
      </c>
      <c r="B100" s="13" t="s">
        <v>49</v>
      </c>
      <c r="C100" s="13" t="s">
        <v>179</v>
      </c>
      <c r="D100" s="13" t="s">
        <v>210</v>
      </c>
      <c r="E100" s="13" t="s">
        <v>603</v>
      </c>
      <c r="F100" s="13" t="s">
        <v>604</v>
      </c>
      <c r="G100" s="13" t="s">
        <v>605</v>
      </c>
      <c r="H100" s="13" t="n">
        <v>80</v>
      </c>
      <c r="I100" s="4" t="s">
        <v>253</v>
      </c>
    </row>
    <row r="101" customFormat="false" ht="15.75" hidden="true" customHeight="true" outlineLevel="0" collapsed="false">
      <c r="A101" s="13" t="s">
        <v>606</v>
      </c>
      <c r="B101" s="13" t="s">
        <v>49</v>
      </c>
      <c r="C101" s="13" t="s">
        <v>183</v>
      </c>
      <c r="D101" s="13" t="s">
        <v>210</v>
      </c>
      <c r="E101" s="13" t="s">
        <v>607</v>
      </c>
      <c r="F101" s="13" t="s">
        <v>608</v>
      </c>
      <c r="G101" s="13" t="s">
        <v>609</v>
      </c>
      <c r="H101" s="13" t="n">
        <v>90</v>
      </c>
      <c r="I101" s="4" t="s">
        <v>253</v>
      </c>
    </row>
    <row r="102" customFormat="false" ht="15.75" hidden="true" customHeight="true" outlineLevel="0" collapsed="false">
      <c r="A102" s="13" t="s">
        <v>610</v>
      </c>
      <c r="B102" s="13" t="s">
        <v>49</v>
      </c>
      <c r="C102" s="13" t="s">
        <v>183</v>
      </c>
      <c r="D102" s="13" t="s">
        <v>210</v>
      </c>
      <c r="E102" s="13" t="s">
        <v>611</v>
      </c>
      <c r="F102" s="13" t="s">
        <v>236</v>
      </c>
      <c r="G102" s="13" t="s">
        <v>612</v>
      </c>
      <c r="H102" s="13" t="n">
        <v>10</v>
      </c>
      <c r="I102" s="4" t="s">
        <v>253</v>
      </c>
    </row>
    <row r="103" customFormat="false" ht="15.75" hidden="true" customHeight="true" outlineLevel="0" collapsed="false">
      <c r="A103" s="13" t="s">
        <v>613</v>
      </c>
      <c r="B103" s="13" t="s">
        <v>49</v>
      </c>
      <c r="C103" s="13" t="s">
        <v>187</v>
      </c>
      <c r="D103" s="13" t="s">
        <v>210</v>
      </c>
      <c r="E103" s="13" t="s">
        <v>614</v>
      </c>
      <c r="F103" s="13" t="s">
        <v>615</v>
      </c>
      <c r="G103" s="13" t="s">
        <v>616</v>
      </c>
      <c r="H103" s="13" t="n">
        <v>80</v>
      </c>
      <c r="I103" s="4" t="s">
        <v>253</v>
      </c>
    </row>
    <row r="104" customFormat="false" ht="15.75" hidden="true" customHeight="true" outlineLevel="0" collapsed="false">
      <c r="A104" s="13" t="s">
        <v>617</v>
      </c>
      <c r="B104" s="13" t="s">
        <v>49</v>
      </c>
      <c r="C104" s="13" t="s">
        <v>191</v>
      </c>
      <c r="D104" s="13" t="s">
        <v>210</v>
      </c>
      <c r="E104" s="13" t="s">
        <v>618</v>
      </c>
      <c r="F104" s="13" t="s">
        <v>619</v>
      </c>
      <c r="G104" s="13" t="s">
        <v>620</v>
      </c>
      <c r="H104" s="13" t="n">
        <v>80</v>
      </c>
      <c r="I104" s="4" t="s">
        <v>253</v>
      </c>
    </row>
    <row r="105" customFormat="false" ht="15.75" hidden="true" customHeight="true" outlineLevel="0" collapsed="false">
      <c r="A105" s="13" t="s">
        <v>621</v>
      </c>
      <c r="B105" s="13" t="s">
        <v>49</v>
      </c>
      <c r="C105" s="13" t="s">
        <v>195</v>
      </c>
      <c r="D105" s="13" t="s">
        <v>210</v>
      </c>
      <c r="E105" s="13" t="s">
        <v>622</v>
      </c>
      <c r="F105" s="13" t="s">
        <v>623</v>
      </c>
      <c r="G105" s="13" t="s">
        <v>624</v>
      </c>
      <c r="H105" s="13" t="n">
        <v>40</v>
      </c>
      <c r="I105" s="4" t="s">
        <v>501</v>
      </c>
    </row>
    <row r="106" customFormat="false" ht="15.75" hidden="true" customHeight="true" outlineLevel="0" collapsed="false">
      <c r="A106" s="13" t="s">
        <v>625</v>
      </c>
      <c r="B106" s="13" t="s">
        <v>49</v>
      </c>
      <c r="C106" s="13" t="s">
        <v>195</v>
      </c>
      <c r="D106" s="13" t="s">
        <v>220</v>
      </c>
      <c r="E106" s="13" t="s">
        <v>626</v>
      </c>
      <c r="F106" s="13" t="s">
        <v>627</v>
      </c>
      <c r="G106" s="13" t="s">
        <v>628</v>
      </c>
      <c r="H106" s="13" t="n">
        <v>30</v>
      </c>
      <c r="I106" s="4" t="s">
        <v>501</v>
      </c>
    </row>
    <row r="107" customFormat="false" ht="15.75" hidden="true" customHeight="true" outlineLevel="0" collapsed="false">
      <c r="A107" s="13" t="s">
        <v>629</v>
      </c>
      <c r="B107" s="13" t="s">
        <v>49</v>
      </c>
      <c r="C107" s="13" t="s">
        <v>200</v>
      </c>
      <c r="D107" s="13" t="s">
        <v>418</v>
      </c>
      <c r="E107" s="13" t="s">
        <v>630</v>
      </c>
      <c r="F107" s="13" t="s">
        <v>202</v>
      </c>
      <c r="G107" s="13" t="s">
        <v>203</v>
      </c>
      <c r="H107" s="13" t="n">
        <v>90</v>
      </c>
      <c r="I107" s="4" t="s">
        <v>253</v>
      </c>
    </row>
  </sheetData>
  <autoFilter ref="A1:Z107">
    <filterColumn colId="1">
      <filters>
        <filter val="P2"/>
      </filters>
    </filterColumn>
  </autoFilter>
  <dataValidations count="1">
    <dataValidation allowBlank="true" error="Elija una categoría de la hoja Minciencias." errorStyle="stop" errorTitle="Categoría no válida" operator="between" showDropDown="false" showErrorMessage="true" showInputMessage="false" sqref="I2:I500" type="list">
      <formula1>Minciencias!$A$2:$A$10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8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3" min="2" style="1" width="45"/>
    <col collapsed="false" customWidth="true" hidden="false" outlineLevel="0" max="8" min="4" style="1" width="16"/>
    <col collapsed="false" customWidth="true" hidden="false" outlineLevel="0" max="11" min="10" style="1" width="12"/>
    <col collapsed="false" customWidth="true" hidden="false" outlineLevel="0" max="12" min="12" style="1" width="40"/>
    <col collapsed="false" customWidth="true" hidden="false" outlineLevel="0" max="13" min="13" style="1" width="12"/>
  </cols>
  <sheetData>
    <row r="1" customFormat="false" ht="17.25" hidden="false" customHeight="true" outlineLevel="0" collapsed="false">
      <c r="A1" s="16" t="s">
        <v>631</v>
      </c>
    </row>
    <row r="2" customFormat="false" ht="15" hidden="false" customHeight="true" outlineLevel="0" collapsed="false">
      <c r="A2" s="6" t="s">
        <v>632</v>
      </c>
    </row>
    <row r="4" customFormat="false" ht="15" hidden="false" customHeight="true" outlineLevel="0" collapsed="false">
      <c r="A4" s="17" t="s">
        <v>633</v>
      </c>
    </row>
    <row r="5" customFormat="false" ht="15" hidden="false" customHeight="true" outlineLevel="0" collapsed="false">
      <c r="A5" s="18" t="s">
        <v>634</v>
      </c>
      <c r="B5" s="18" t="s">
        <v>635</v>
      </c>
      <c r="C5" s="18" t="s">
        <v>636</v>
      </c>
      <c r="D5" s="18" t="s">
        <v>17</v>
      </c>
      <c r="E5" s="18" t="s">
        <v>18</v>
      </c>
      <c r="F5" s="18" t="s">
        <v>19</v>
      </c>
      <c r="G5" s="18" t="s">
        <v>20</v>
      </c>
      <c r="H5" s="18" t="s">
        <v>21</v>
      </c>
      <c r="J5" s="6" t="s">
        <v>637</v>
      </c>
    </row>
    <row r="6" customFormat="false" ht="15" hidden="false" customHeight="true" outlineLevel="0" collapsed="false">
      <c r="A6" s="1" t="str">
        <f aca="false">Programas!B2</f>
        <v>P1 Investigación-desarrollo</v>
      </c>
      <c r="B6" s="19" t="n">
        <f aca="false">Programas!F2/100</f>
        <v>0.57</v>
      </c>
      <c r="C6" s="19" t="n">
        <f aca="false">1-B6</f>
        <v>0.43</v>
      </c>
      <c r="D6" s="1" t="n">
        <f aca="false">COUNTIFS(Acciones!$B:$B,Programas!A2,Acciones!$F:$F,"No")</f>
        <v>3</v>
      </c>
      <c r="E6" s="1" t="n">
        <f aca="false">COUNTIFS(Acciones!$B:$B,Programas!A2,Acciones!$F:$F,"No",Acciones!$D:$D,"Cumplido")</f>
        <v>0</v>
      </c>
      <c r="F6" s="1" t="n">
        <f aca="false">COUNTIFS(Acciones!$B:$B,Programas!A2,Acciones!$F:$F,"No",Acciones!$D:$D,"En curso")</f>
        <v>1</v>
      </c>
      <c r="G6" s="1" t="n">
        <f aca="false">COUNTIFS(Acciones!$B:$B,Programas!A2,Acciones!$F:$F,"No",Acciones!$D:$D,"Rezagado")</f>
        <v>1</v>
      </c>
      <c r="H6" s="1" t="n">
        <f aca="false">COUNTIFS(Acciones!$B:$B,Programas!A2,Acciones!$F:$F,"No",Acciones!$D:$D,"Mixto")</f>
        <v>1</v>
      </c>
      <c r="J6" s="20" t="n">
        <f aca="false">B6+ROW()/1000000</f>
        <v>0.570006</v>
      </c>
    </row>
    <row r="7" customFormat="false" ht="15" hidden="false" customHeight="true" outlineLevel="0" collapsed="false">
      <c r="A7" s="1" t="str">
        <f aca="false">Programas!B3</f>
        <v>P2 Formación</v>
      </c>
      <c r="B7" s="19" t="n">
        <f aca="false">Programas!F3/100</f>
        <v>0.79</v>
      </c>
      <c r="C7" s="19" t="n">
        <f aca="false">1-B7</f>
        <v>0.21</v>
      </c>
      <c r="D7" s="1" t="n">
        <f aca="false">COUNTIFS(Acciones!$B:$B,Programas!A3,Acciones!$F:$F,"No")</f>
        <v>3</v>
      </c>
      <c r="E7" s="1" t="n">
        <f aca="false">COUNTIFS(Acciones!$B:$B,Programas!A3,Acciones!$F:$F,"No",Acciones!$D:$D,"Cumplido")</f>
        <v>0</v>
      </c>
      <c r="F7" s="1" t="n">
        <f aca="false">COUNTIFS(Acciones!$B:$B,Programas!A3,Acciones!$F:$F,"No",Acciones!$D:$D,"En curso")</f>
        <v>2</v>
      </c>
      <c r="G7" s="1" t="n">
        <f aca="false">COUNTIFS(Acciones!$B:$B,Programas!A3,Acciones!$F:$F,"No",Acciones!$D:$D,"Rezagado")</f>
        <v>0</v>
      </c>
      <c r="H7" s="1" t="n">
        <f aca="false">COUNTIFS(Acciones!$B:$B,Programas!A3,Acciones!$F:$F,"No",Acciones!$D:$D,"Mixto")</f>
        <v>1</v>
      </c>
      <c r="J7" s="20" t="n">
        <f aca="false">B7+ROW()/1000000</f>
        <v>0.790007</v>
      </c>
    </row>
    <row r="8" customFormat="false" ht="15" hidden="false" customHeight="true" outlineLevel="0" collapsed="false">
      <c r="A8" s="1" t="str">
        <f aca="false">Programas!B4</f>
        <v>P3 Circulación del conocimiento</v>
      </c>
      <c r="B8" s="19" t="n">
        <f aca="false">Programas!F4/100</f>
        <v>0.49</v>
      </c>
      <c r="C8" s="19" t="n">
        <f aca="false">1-B8</f>
        <v>0.51</v>
      </c>
      <c r="D8" s="1" t="n">
        <f aca="false">COUNTIFS(Acciones!$B:$B,Programas!A4,Acciones!$F:$F,"No")</f>
        <v>4</v>
      </c>
      <c r="E8" s="1" t="n">
        <f aca="false">COUNTIFS(Acciones!$B:$B,Programas!A4,Acciones!$F:$F,"No",Acciones!$D:$D,"Cumplido")</f>
        <v>0</v>
      </c>
      <c r="F8" s="1" t="n">
        <f aca="false">COUNTIFS(Acciones!$B:$B,Programas!A4,Acciones!$F:$F,"No",Acciones!$D:$D,"En curso")</f>
        <v>3</v>
      </c>
      <c r="G8" s="1" t="n">
        <f aca="false">COUNTIFS(Acciones!$B:$B,Programas!A4,Acciones!$F:$F,"No",Acciones!$D:$D,"Rezagado")</f>
        <v>0</v>
      </c>
      <c r="H8" s="1" t="n">
        <f aca="false">COUNTIFS(Acciones!$B:$B,Programas!A4,Acciones!$F:$F,"No",Acciones!$D:$D,"Mixto")</f>
        <v>1</v>
      </c>
      <c r="J8" s="20" t="n">
        <f aca="false">B8+ROW()/1000000</f>
        <v>0.490008</v>
      </c>
    </row>
    <row r="9" customFormat="false" ht="15" hidden="false" customHeight="true" outlineLevel="0" collapsed="false">
      <c r="A9" s="1" t="str">
        <f aca="false">Programas!B5</f>
        <v>P4 Transformación digital</v>
      </c>
      <c r="B9" s="19" t="n">
        <f aca="false">Programas!F5/100</f>
        <v>0.5</v>
      </c>
      <c r="C9" s="19" t="n">
        <f aca="false">1-B9</f>
        <v>0.5</v>
      </c>
      <c r="D9" s="1" t="n">
        <f aca="false">COUNTIFS(Acciones!$B:$B,Programas!A5,Acciones!$F:$F,"No")</f>
        <v>6</v>
      </c>
      <c r="E9" s="1" t="n">
        <f aca="false">COUNTIFS(Acciones!$B:$B,Programas!A5,Acciones!$F:$F,"No",Acciones!$D:$D,"Cumplido")</f>
        <v>0</v>
      </c>
      <c r="F9" s="1" t="n">
        <f aca="false">COUNTIFS(Acciones!$B:$B,Programas!A5,Acciones!$F:$F,"No",Acciones!$D:$D,"En curso")</f>
        <v>2</v>
      </c>
      <c r="G9" s="1" t="n">
        <f aca="false">COUNTIFS(Acciones!$B:$B,Programas!A5,Acciones!$F:$F,"No",Acciones!$D:$D,"Rezagado")</f>
        <v>3</v>
      </c>
      <c r="H9" s="1" t="n">
        <f aca="false">COUNTIFS(Acciones!$B:$B,Programas!A5,Acciones!$F:$F,"No",Acciones!$D:$D,"Mixto")</f>
        <v>1</v>
      </c>
      <c r="J9" s="20" t="n">
        <f aca="false">B9+ROW()/1000000</f>
        <v>0.500009</v>
      </c>
    </row>
    <row r="10" customFormat="false" ht="15" hidden="false" customHeight="true" outlineLevel="0" collapsed="false">
      <c r="A10" s="1" t="str">
        <f aca="false">Programas!B6</f>
        <v>P5 Planeación y CEA</v>
      </c>
      <c r="B10" s="19" t="n">
        <f aca="false">Programas!F6/100</f>
        <v>0.46</v>
      </c>
      <c r="C10" s="19" t="n">
        <f aca="false">1-B10</f>
        <v>0.54</v>
      </c>
      <c r="D10" s="1" t="n">
        <f aca="false">COUNTIFS(Acciones!$B:$B,Programas!A6,Acciones!$F:$F,"No")</f>
        <v>7</v>
      </c>
      <c r="E10" s="1" t="n">
        <f aca="false">COUNTIFS(Acciones!$B:$B,Programas!A6,Acciones!$F:$F,"No",Acciones!$D:$D,"Cumplido")</f>
        <v>0</v>
      </c>
      <c r="F10" s="1" t="n">
        <f aca="false">COUNTIFS(Acciones!$B:$B,Programas!A6,Acciones!$F:$F,"No",Acciones!$D:$D,"En curso")</f>
        <v>4</v>
      </c>
      <c r="G10" s="1" t="n">
        <f aca="false">COUNTIFS(Acciones!$B:$B,Programas!A6,Acciones!$F:$F,"No",Acciones!$D:$D,"Rezagado")</f>
        <v>2</v>
      </c>
      <c r="H10" s="1" t="n">
        <f aca="false">COUNTIFS(Acciones!$B:$B,Programas!A6,Acciones!$F:$F,"No",Acciones!$D:$D,"Mixto")</f>
        <v>1</v>
      </c>
      <c r="J10" s="20" t="n">
        <f aca="false">B10+ROW()/1000000</f>
        <v>0.46001</v>
      </c>
    </row>
    <row r="11" customFormat="false" ht="15" hidden="false" customHeight="true" outlineLevel="0" collapsed="false">
      <c r="A11" s="1" t="str">
        <f aca="false">Programas!B7</f>
        <v>P6 Talento humano</v>
      </c>
      <c r="B11" s="19" t="n">
        <f aca="false">Programas!F7/100</f>
        <v>0.68</v>
      </c>
      <c r="C11" s="19" t="n">
        <f aca="false">1-B11</f>
        <v>0.32</v>
      </c>
      <c r="D11" s="1" t="n">
        <f aca="false">COUNTIFS(Acciones!$B:$B,Programas!A7,Acciones!$F:$F,"No")</f>
        <v>6</v>
      </c>
      <c r="E11" s="1" t="n">
        <f aca="false">COUNTIFS(Acciones!$B:$B,Programas!A7,Acciones!$F:$F,"No",Acciones!$D:$D,"Cumplido")</f>
        <v>0</v>
      </c>
      <c r="F11" s="1" t="n">
        <f aca="false">COUNTIFS(Acciones!$B:$B,Programas!A7,Acciones!$F:$F,"No",Acciones!$D:$D,"En curso")</f>
        <v>5</v>
      </c>
      <c r="G11" s="1" t="n">
        <f aca="false">COUNTIFS(Acciones!$B:$B,Programas!A7,Acciones!$F:$F,"No",Acciones!$D:$D,"Rezagado")</f>
        <v>0</v>
      </c>
      <c r="H11" s="1" t="n">
        <f aca="false">COUNTIFS(Acciones!$B:$B,Programas!A7,Acciones!$F:$F,"No",Acciones!$D:$D,"Mixto")</f>
        <v>1</v>
      </c>
      <c r="J11" s="20" t="n">
        <f aca="false">B11+ROW()/1000000</f>
        <v>0.680011</v>
      </c>
    </row>
    <row r="12" customFormat="false" ht="15" hidden="false" customHeight="true" outlineLevel="0" collapsed="false">
      <c r="A12" s="10" t="s">
        <v>638</v>
      </c>
      <c r="B12" s="21" t="n">
        <f aca="false">ROUND(AVERAGE(Programas!F2:F7),0)/100</f>
        <v>0.58</v>
      </c>
      <c r="C12" s="21" t="n">
        <f aca="false">1-B12</f>
        <v>0.42</v>
      </c>
      <c r="D12" s="10" t="n">
        <f aca="false">SUM(D6:D11)</f>
        <v>29</v>
      </c>
      <c r="E12" s="10" t="n">
        <f aca="false">SUM(E6:E11)</f>
        <v>0</v>
      </c>
      <c r="F12" s="10" t="n">
        <f aca="false">SUM(F6:F11)</f>
        <v>17</v>
      </c>
      <c r="G12" s="10" t="n">
        <f aca="false">SUM(G6:G11)</f>
        <v>6</v>
      </c>
      <c r="H12" s="10" t="n">
        <f aca="false">SUM(H6:H11)</f>
        <v>6</v>
      </c>
    </row>
    <row r="14" customFormat="false" ht="15" hidden="false" customHeight="true" outlineLevel="0" collapsed="false">
      <c r="A14" s="17" t="s">
        <v>639</v>
      </c>
    </row>
    <row r="15" customFormat="false" ht="15" hidden="false" customHeight="true" outlineLevel="0" collapsed="false">
      <c r="A15" s="18" t="s">
        <v>640</v>
      </c>
      <c r="B15" s="18" t="s">
        <v>634</v>
      </c>
      <c r="C15" s="18" t="s">
        <v>635</v>
      </c>
      <c r="J15" s="6" t="s">
        <v>637</v>
      </c>
    </row>
    <row r="16" customFormat="false" ht="15" hidden="false" customHeight="true" outlineLevel="0" collapsed="false">
      <c r="A16" s="1" t="n">
        <v>1</v>
      </c>
      <c r="B16" s="19" t="str">
        <f aca="false">INDEX($A$6:$A$11,MATCH(J16,$J$6:$J$11,0))</f>
        <v>P2 Formación</v>
      </c>
      <c r="C16" s="19" t="n">
        <f aca="false">INDEX($B$6:$B$11,MATCH(J16,$J$6:$J$11,0))</f>
        <v>0.79</v>
      </c>
      <c r="J16" s="6" t="n">
        <f aca="false">LARGE($J$6:$J$11,A16)</f>
        <v>0.790007</v>
      </c>
    </row>
    <row r="17" customFormat="false" ht="15" hidden="false" customHeight="true" outlineLevel="0" collapsed="false">
      <c r="A17" s="1" t="n">
        <v>2</v>
      </c>
      <c r="B17" s="19" t="str">
        <f aca="false">INDEX($A$6:$A$11,MATCH(J17,$J$6:$J$11,0))</f>
        <v>P6 Talento humano</v>
      </c>
      <c r="C17" s="19" t="n">
        <f aca="false">INDEX($B$6:$B$11,MATCH(J17,$J$6:$J$11,0))</f>
        <v>0.68</v>
      </c>
      <c r="J17" s="6" t="n">
        <f aca="false">LARGE($J$6:$J$11,A17)</f>
        <v>0.680011</v>
      </c>
    </row>
    <row r="18" customFormat="false" ht="15" hidden="false" customHeight="true" outlineLevel="0" collapsed="false">
      <c r="A18" s="1" t="n">
        <v>3</v>
      </c>
      <c r="B18" s="19" t="str">
        <f aca="false">INDEX($A$6:$A$11,MATCH(J18,$J$6:$J$11,0))</f>
        <v>P1 Investigación-desarrollo</v>
      </c>
      <c r="C18" s="19" t="n">
        <f aca="false">INDEX($B$6:$B$11,MATCH(J18,$J$6:$J$11,0))</f>
        <v>0.57</v>
      </c>
      <c r="J18" s="6" t="n">
        <f aca="false">LARGE($J$6:$J$11,A18)</f>
        <v>0.570006</v>
      </c>
    </row>
    <row r="19" customFormat="false" ht="15" hidden="false" customHeight="true" outlineLevel="0" collapsed="false">
      <c r="A19" s="1" t="n">
        <v>4</v>
      </c>
      <c r="B19" s="19" t="str">
        <f aca="false">INDEX($A$6:$A$11,MATCH(J19,$J$6:$J$11,0))</f>
        <v>P4 Transformación digital</v>
      </c>
      <c r="C19" s="19" t="n">
        <f aca="false">INDEX($B$6:$B$11,MATCH(J19,$J$6:$J$11,0))</f>
        <v>0.5</v>
      </c>
      <c r="J19" s="6" t="n">
        <f aca="false">LARGE($J$6:$J$11,A19)</f>
        <v>0.500009</v>
      </c>
    </row>
    <row r="20" customFormat="false" ht="15" hidden="false" customHeight="true" outlineLevel="0" collapsed="false">
      <c r="A20" s="1" t="n">
        <v>5</v>
      </c>
      <c r="B20" s="19" t="str">
        <f aca="false">INDEX($A$6:$A$11,MATCH(J20,$J$6:$J$11,0))</f>
        <v>P3 Circulación del conocimiento</v>
      </c>
      <c r="C20" s="19" t="n">
        <f aca="false">INDEX($B$6:$B$11,MATCH(J20,$J$6:$J$11,0))</f>
        <v>0.49</v>
      </c>
      <c r="J20" s="6" t="n">
        <f aca="false">LARGE($J$6:$J$11,A20)</f>
        <v>0.490008</v>
      </c>
    </row>
    <row r="21" customFormat="false" ht="15" hidden="false" customHeight="true" outlineLevel="0" collapsed="false">
      <c r="A21" s="1" t="n">
        <v>6</v>
      </c>
      <c r="B21" s="19" t="str">
        <f aca="false">INDEX($A$6:$A$11,MATCH(J21,$J$6:$J$11,0))</f>
        <v>P5 Planeación y CEA</v>
      </c>
      <c r="C21" s="19" t="n">
        <f aca="false">INDEX($B$6:$B$11,MATCH(J21,$J$6:$J$11,0))</f>
        <v>0.46</v>
      </c>
      <c r="J21" s="6" t="n">
        <f aca="false">LARGE($J$6:$J$11,A21)</f>
        <v>0.46001</v>
      </c>
    </row>
    <row r="23" customFormat="false" ht="15" hidden="false" customHeight="true" outlineLevel="0" collapsed="false">
      <c r="A23" s="17" t="s">
        <v>641</v>
      </c>
    </row>
    <row r="24" customFormat="false" ht="23.25" hidden="false" customHeight="true" outlineLevel="0" collapsed="false">
      <c r="A24" s="18" t="s">
        <v>634</v>
      </c>
      <c r="B24" s="18" t="s">
        <v>642</v>
      </c>
      <c r="C24" s="18" t="s">
        <v>643</v>
      </c>
      <c r="D24" s="18" t="s">
        <v>644</v>
      </c>
      <c r="E24" s="18" t="s">
        <v>645</v>
      </c>
      <c r="F24" s="18" t="s">
        <v>646</v>
      </c>
    </row>
    <row r="25" customFormat="false" ht="15" hidden="false" customHeight="true" outlineLevel="0" collapsed="false">
      <c r="A25" s="1" t="str">
        <f aca="false">Programas!B2</f>
        <v>P1 Investigación-desarrollo</v>
      </c>
      <c r="B25" s="1" t="n">
        <f aca="false">COUNTIFS(Metas!$B:$B,Programas!A2,Metas!$D:$D,"&lt;&gt;Fuera del plan",Metas!$H:$H,"&gt;=90")</f>
        <v>4</v>
      </c>
      <c r="C25" s="1" t="n">
        <f aca="false">COUNTIFS(Metas!$B:$B,Programas!A2,Metas!$D:$D,"&lt;&gt;Fuera del plan",Metas!$H:$H,"&gt;=70",Metas!$H:$H,"&lt;90")</f>
        <v>1</v>
      </c>
      <c r="D25" s="1" t="n">
        <f aca="false">COUNTIFS(Metas!$B:$B,Programas!A2,Metas!$D:$D,"&lt;&gt;Fuera del plan",Metas!$H:$H,"&gt;=40",Metas!$H:$H,"&lt;70")</f>
        <v>6</v>
      </c>
      <c r="E25" s="1" t="n">
        <f aca="false">COUNTIFS(Metas!$B:$B,Programas!A2,Metas!$D:$D,"&lt;&gt;Fuera del plan",Metas!$H:$H,"&lt;40")</f>
        <v>4</v>
      </c>
      <c r="F25" s="1" t="n">
        <f aca="false">SUM(B25:E25)</f>
        <v>15</v>
      </c>
    </row>
    <row r="26" customFormat="false" ht="15" hidden="false" customHeight="true" outlineLevel="0" collapsed="false">
      <c r="A26" s="1" t="str">
        <f aca="false">Programas!B3</f>
        <v>P2 Formación</v>
      </c>
      <c r="B26" s="1" t="n">
        <f aca="false">COUNTIFS(Metas!$B:$B,Programas!A3,Metas!$D:$D,"&lt;&gt;Fuera del plan",Metas!$H:$H,"&gt;=90")</f>
        <v>3</v>
      </c>
      <c r="C26" s="1" t="n">
        <f aca="false">COUNTIFS(Metas!$B:$B,Programas!A3,Metas!$D:$D,"&lt;&gt;Fuera del plan",Metas!$H:$H,"&gt;=70",Metas!$H:$H,"&lt;90")</f>
        <v>8</v>
      </c>
      <c r="D26" s="1" t="n">
        <f aca="false">COUNTIFS(Metas!$B:$B,Programas!A3,Metas!$D:$D,"&lt;&gt;Fuera del plan",Metas!$H:$H,"&gt;=40",Metas!$H:$H,"&lt;70")</f>
        <v>2</v>
      </c>
      <c r="E26" s="1" t="n">
        <f aca="false">COUNTIFS(Metas!$B:$B,Programas!A3,Metas!$D:$D,"&lt;&gt;Fuera del plan",Metas!$H:$H,"&lt;40")</f>
        <v>0</v>
      </c>
      <c r="F26" s="1" t="n">
        <f aca="false">SUM(B26:E26)</f>
        <v>13</v>
      </c>
    </row>
    <row r="27" customFormat="false" ht="15" hidden="false" customHeight="true" outlineLevel="0" collapsed="false">
      <c r="A27" s="1" t="str">
        <f aca="false">Programas!B4</f>
        <v>P3 Circulación del conocimiento</v>
      </c>
      <c r="B27" s="1" t="n">
        <f aca="false">COUNTIFS(Metas!$B:$B,Programas!A4,Metas!$D:$D,"&lt;&gt;Fuera del plan",Metas!$H:$H,"&gt;=90")</f>
        <v>1</v>
      </c>
      <c r="C27" s="1" t="n">
        <f aca="false">COUNTIFS(Metas!$B:$B,Programas!A4,Metas!$D:$D,"&lt;&gt;Fuera del plan",Metas!$H:$H,"&gt;=70",Metas!$H:$H,"&lt;90")</f>
        <v>5</v>
      </c>
      <c r="D27" s="1" t="n">
        <f aca="false">COUNTIFS(Metas!$B:$B,Programas!A4,Metas!$D:$D,"&lt;&gt;Fuera del plan",Metas!$H:$H,"&gt;=40",Metas!$H:$H,"&lt;70")</f>
        <v>8</v>
      </c>
      <c r="E27" s="1" t="n">
        <f aca="false">COUNTIFS(Metas!$B:$B,Programas!A4,Metas!$D:$D,"&lt;&gt;Fuera del plan",Metas!$H:$H,"&lt;40")</f>
        <v>8</v>
      </c>
      <c r="F27" s="1" t="n">
        <f aca="false">SUM(B27:E27)</f>
        <v>22</v>
      </c>
    </row>
    <row r="28" customFormat="false" ht="15" hidden="false" customHeight="true" outlineLevel="0" collapsed="false">
      <c r="A28" s="1" t="str">
        <f aca="false">Programas!B5</f>
        <v>P4 Transformación digital</v>
      </c>
      <c r="B28" s="1" t="n">
        <f aca="false">COUNTIFS(Metas!$B:$B,Programas!A5,Metas!$D:$D,"&lt;&gt;Fuera del plan",Metas!$H:$H,"&gt;=90")</f>
        <v>4</v>
      </c>
      <c r="C28" s="1" t="n">
        <f aca="false">COUNTIFS(Metas!$B:$B,Programas!A5,Metas!$D:$D,"&lt;&gt;Fuera del plan",Metas!$H:$H,"&gt;=70",Metas!$H:$H,"&lt;90")</f>
        <v>2</v>
      </c>
      <c r="D28" s="1" t="n">
        <f aca="false">COUNTIFS(Metas!$B:$B,Programas!A5,Metas!$D:$D,"&lt;&gt;Fuera del plan",Metas!$H:$H,"&gt;=40",Metas!$H:$H,"&lt;70")</f>
        <v>5</v>
      </c>
      <c r="E28" s="1" t="n">
        <f aca="false">COUNTIFS(Metas!$B:$B,Programas!A5,Metas!$D:$D,"&lt;&gt;Fuera del plan",Metas!$H:$H,"&lt;40")</f>
        <v>7</v>
      </c>
      <c r="F28" s="1" t="n">
        <f aca="false">SUM(B28:E28)</f>
        <v>18</v>
      </c>
    </row>
    <row r="29" customFormat="false" ht="15" hidden="false" customHeight="true" outlineLevel="0" collapsed="false">
      <c r="A29" s="1" t="str">
        <f aca="false">Programas!B6</f>
        <v>P5 Planeación y CEA</v>
      </c>
      <c r="B29" s="1" t="n">
        <f aca="false">COUNTIFS(Metas!$B:$B,Programas!A6,Metas!$D:$D,"&lt;&gt;Fuera del plan",Metas!$H:$H,"&gt;=90")</f>
        <v>0</v>
      </c>
      <c r="C29" s="1" t="n">
        <f aca="false">COUNTIFS(Metas!$B:$B,Programas!A6,Metas!$D:$D,"&lt;&gt;Fuera del plan",Metas!$H:$H,"&gt;=70",Metas!$H:$H,"&lt;90")</f>
        <v>3</v>
      </c>
      <c r="D29" s="1" t="n">
        <f aca="false">COUNTIFS(Metas!$B:$B,Programas!A6,Metas!$D:$D,"&lt;&gt;Fuera del plan",Metas!$H:$H,"&gt;=40",Metas!$H:$H,"&lt;70")</f>
        <v>9</v>
      </c>
      <c r="E29" s="1" t="n">
        <f aca="false">COUNTIFS(Metas!$B:$B,Programas!A6,Metas!$D:$D,"&lt;&gt;Fuera del plan",Metas!$H:$H,"&lt;40")</f>
        <v>5</v>
      </c>
      <c r="F29" s="1" t="n">
        <f aca="false">SUM(B29:E29)</f>
        <v>17</v>
      </c>
    </row>
    <row r="30" customFormat="false" ht="15" hidden="false" customHeight="true" outlineLevel="0" collapsed="false">
      <c r="A30" s="1" t="str">
        <f aca="false">Programas!B7</f>
        <v>P6 Talento humano</v>
      </c>
      <c r="B30" s="1" t="n">
        <f aca="false">COUNTIFS(Metas!$B:$B,Programas!A7,Metas!$D:$D,"&lt;&gt;Fuera del plan",Metas!$H:$H,"&gt;=90")</f>
        <v>5</v>
      </c>
      <c r="C30" s="1" t="n">
        <f aca="false">COUNTIFS(Metas!$B:$B,Programas!A7,Metas!$D:$D,"&lt;&gt;Fuera del plan",Metas!$H:$H,"&gt;=70",Metas!$H:$H,"&lt;90")</f>
        <v>4</v>
      </c>
      <c r="D30" s="1" t="n">
        <f aca="false">COUNTIFS(Metas!$B:$B,Programas!A7,Metas!$D:$D,"&lt;&gt;Fuera del plan",Metas!$H:$H,"&gt;=40",Metas!$H:$H,"&lt;70")</f>
        <v>1</v>
      </c>
      <c r="E30" s="1" t="n">
        <f aca="false">COUNTIFS(Metas!$B:$B,Programas!A7,Metas!$D:$D,"&lt;&gt;Fuera del plan",Metas!$H:$H,"&lt;40")</f>
        <v>3</v>
      </c>
      <c r="F30" s="1" t="n">
        <f aca="false">SUM(B30:E30)</f>
        <v>13</v>
      </c>
    </row>
    <row r="31" customFormat="false" ht="15" hidden="false" customHeight="true" outlineLevel="0" collapsed="false">
      <c r="A31" s="10" t="s">
        <v>638</v>
      </c>
      <c r="B31" s="10" t="n">
        <f aca="false">SUM(B25:B30)</f>
        <v>17</v>
      </c>
      <c r="C31" s="10" t="n">
        <f aca="false">SUM(C25:C30)</f>
        <v>23</v>
      </c>
      <c r="D31" s="10" t="n">
        <f aca="false">SUM(D25:D30)</f>
        <v>31</v>
      </c>
      <c r="E31" s="10" t="n">
        <f aca="false">SUM(E25:E30)</f>
        <v>27</v>
      </c>
      <c r="F31" s="10" t="n">
        <f aca="false">SUM(F25:F30)</f>
        <v>98</v>
      </c>
    </row>
    <row r="33" customFormat="false" ht="15" hidden="false" customHeight="true" outlineLevel="0" collapsed="false">
      <c r="A33" s="17" t="s">
        <v>647</v>
      </c>
    </row>
    <row r="34" customFormat="false" ht="15" hidden="false" customHeight="true" outlineLevel="0" collapsed="false">
      <c r="A34" s="18" t="s">
        <v>634</v>
      </c>
      <c r="B34" s="18" t="s">
        <v>648</v>
      </c>
      <c r="C34" s="18" t="s">
        <v>649</v>
      </c>
    </row>
    <row r="35" customFormat="false" ht="15" hidden="false" customHeight="true" outlineLevel="0" collapsed="false">
      <c r="A35" s="1" t="str">
        <f aca="false">Programas!B2</f>
        <v>P1 Investigación-desarrollo</v>
      </c>
      <c r="B35" s="19" t="n">
        <f aca="false">IFERROR(AVERAGEIFS(Metas!$H:$H,Metas!$B:$B,Programas!A2,Metas!$D:$D,"Priorizada")/100,0)</f>
        <v>0.65</v>
      </c>
      <c r="C35" s="19" t="n">
        <f aca="false">IFERROR(AVERAGEIFS(Metas!$H:$H,Metas!$B:$B,Programas!A2,Metas!$D:$D,"No priorizada")/100,0)</f>
        <v>0.425</v>
      </c>
    </row>
    <row r="36" customFormat="false" ht="15" hidden="false" customHeight="true" outlineLevel="0" collapsed="false">
      <c r="A36" s="1" t="str">
        <f aca="false">Programas!B3</f>
        <v>P2 Formación</v>
      </c>
      <c r="B36" s="19" t="n">
        <f aca="false">IFERROR(AVERAGEIFS(Metas!$H:$H,Metas!$B:$B,Programas!A3,Metas!$D:$D,"Priorizada")/100,0)</f>
        <v>0.805</v>
      </c>
      <c r="C36" s="19" t="n">
        <f aca="false">IFERROR(AVERAGEIFS(Metas!$H:$H,Metas!$B:$B,Programas!A3,Metas!$D:$D,"No priorizada")/100,0)</f>
        <v>0.7</v>
      </c>
    </row>
    <row r="37" customFormat="false" ht="15" hidden="false" customHeight="true" outlineLevel="0" collapsed="false">
      <c r="A37" s="1" t="str">
        <f aca="false">Programas!B4</f>
        <v>P3 Circulación del conocimiento</v>
      </c>
      <c r="B37" s="19" t="n">
        <f aca="false">IFERROR(AVERAGEIFS(Metas!$H:$H,Metas!$B:$B,Programas!A4,Metas!$D:$D,"Priorizada")/100,0)</f>
        <v>0.502380952380952</v>
      </c>
      <c r="C37" s="19" t="n">
        <f aca="false">IFERROR(AVERAGEIFS(Metas!$H:$H,Metas!$B:$B,Programas!A4,Metas!$D:$D,"No priorizada")/100,0)</f>
        <v>0.25</v>
      </c>
    </row>
    <row r="38" customFormat="false" ht="15" hidden="false" customHeight="true" outlineLevel="0" collapsed="false">
      <c r="A38" s="1" t="str">
        <f aca="false">Programas!B5</f>
        <v>P4 Transformación digital</v>
      </c>
      <c r="B38" s="19" t="n">
        <f aca="false">IFERROR(AVERAGEIFS(Metas!$H:$H,Metas!$B:$B,Programas!A5,Metas!$D:$D,"Priorizada")/100,0)</f>
        <v>0.577692307692308</v>
      </c>
      <c r="C38" s="19" t="n">
        <f aca="false">IFERROR(AVERAGEIFS(Metas!$H:$H,Metas!$B:$B,Programas!A5,Metas!$D:$D,"No priorizada")/100,0)</f>
        <v>0.26</v>
      </c>
    </row>
    <row r="39" customFormat="false" ht="15" hidden="false" customHeight="true" outlineLevel="0" collapsed="false">
      <c r="A39" s="1" t="str">
        <f aca="false">Programas!B6</f>
        <v>P5 Planeación y CEA</v>
      </c>
      <c r="B39" s="19" t="n">
        <f aca="false">IFERROR(AVERAGEIFS(Metas!$H:$H,Metas!$B:$B,Programas!A6,Metas!$D:$D,"Priorizada")/100,0)</f>
        <v>0.625</v>
      </c>
      <c r="C39" s="19" t="n">
        <f aca="false">IFERROR(AVERAGEIFS(Metas!$H:$H,Metas!$B:$B,Programas!A6,Metas!$D:$D,"No priorizada")/100,0)</f>
        <v>0.345454545454545</v>
      </c>
    </row>
    <row r="40" customFormat="false" ht="15" hidden="false" customHeight="true" outlineLevel="0" collapsed="false">
      <c r="A40" s="1" t="str">
        <f aca="false">Programas!B7</f>
        <v>P6 Talento humano</v>
      </c>
      <c r="B40" s="19" t="n">
        <f aca="false">IFERROR(AVERAGEIFS(Metas!$H:$H,Metas!$B:$B,Programas!A7,Metas!$D:$D,"Priorizada")/100,0)</f>
        <v>0.720833333333333</v>
      </c>
      <c r="C40" s="19" t="n">
        <f aca="false">IFERROR(AVERAGEIFS(Metas!$H:$H,Metas!$B:$B,Programas!A7,Metas!$D:$D,"No priorizada")/100,0)</f>
        <v>0.3</v>
      </c>
    </row>
    <row r="41" customFormat="false" ht="15" hidden="false" customHeight="true" outlineLevel="0" collapsed="false">
      <c r="A41" s="10" t="s">
        <v>638</v>
      </c>
      <c r="B41" s="21" t="n">
        <f aca="false">IFERROR(AVERAGEIFS(Metas!$H:$H,Metas!$D:$D,"Priorizada")/100,0)</f>
        <v>0.625479452054795</v>
      </c>
      <c r="C41" s="21" t="n">
        <f aca="false">IFERROR(AVERAGEIFS(Metas!$H:$H,Metas!$D:$D,"No priorizada")/100,0)</f>
        <v>0.378</v>
      </c>
    </row>
    <row r="42" customFormat="false" ht="15" hidden="false" customHeight="true" outlineLevel="0" collapsed="false">
      <c r="A42" s="6" t="s">
        <v>650</v>
      </c>
    </row>
    <row r="44" customFormat="false" ht="15" hidden="false" customHeight="true" outlineLevel="0" collapsed="false">
      <c r="A44" s="17" t="s">
        <v>651</v>
      </c>
    </row>
    <row r="45" customFormat="false" ht="15" hidden="false" customHeight="true" outlineLevel="0" collapsed="false">
      <c r="A45" s="18" t="s">
        <v>640</v>
      </c>
      <c r="B45" s="18" t="s">
        <v>652</v>
      </c>
      <c r="C45" s="18" t="s">
        <v>635</v>
      </c>
      <c r="D45" s="18" t="s">
        <v>653</v>
      </c>
      <c r="K45" s="6" t="s">
        <v>654</v>
      </c>
      <c r="L45" s="6" t="s">
        <v>655</v>
      </c>
      <c r="M45" s="6" t="s">
        <v>654</v>
      </c>
    </row>
    <row r="46" customFormat="false" ht="15" hidden="false" customHeight="true" outlineLevel="0" collapsed="false">
      <c r="A46" s="1" t="n">
        <v>1</v>
      </c>
      <c r="B46" s="19" t="str">
        <f aca="false">INDEX($L$46:$L$78,MATCH(K46,$M$46:$M$78,0))</f>
        <v>P4 · A2 Infraestructura tecnológica</v>
      </c>
      <c r="C46" s="19" t="n">
        <f aca="false">INDEX(Acciones!$I$2:$I$34,MATCH(K46,$M$46:$M$78,0))/100</f>
        <v>0.9</v>
      </c>
      <c r="D46" s="1" t="str">
        <f aca="false">INDEX(Acciones!$D$2:$D$34,MATCH(K46,$M$46:$M$78,0))</f>
        <v>En curso</v>
      </c>
      <c r="K46" s="6" t="n">
        <f aca="false">LARGE($M$46:$M$78,A46)</f>
        <v>90.000058</v>
      </c>
      <c r="L46" s="6" t="str">
        <f aca="false">Acciones!B2&amp;" · "&amp;Acciones!C2</f>
        <v>P1 · A1 Grupos y líneas de investigación</v>
      </c>
      <c r="M46" s="6" t="n">
        <f aca="false">IF(Acciones!F2="No",Acciones!I2+ROW()/1000000,-1)</f>
        <v>75.000046</v>
      </c>
    </row>
    <row r="47" customFormat="false" ht="15" hidden="false" customHeight="true" outlineLevel="0" collapsed="false">
      <c r="A47" s="1" t="n">
        <v>2</v>
      </c>
      <c r="B47" s="19" t="str">
        <f aca="false">INDEX($L$46:$L$78,MATCH(K47,$M$46:$M$78,0))</f>
        <v>P6 · A2 SG-SST</v>
      </c>
      <c r="C47" s="19" t="n">
        <f aca="false">INDEX(Acciones!$I$2:$I$34,MATCH(K47,$M$46:$M$78,0))/100</f>
        <v>0.88</v>
      </c>
      <c r="D47" s="1" t="str">
        <f aca="false">INDEX(Acciones!$D$2:$D$34,MATCH(K47,$M$46:$M$78,0))</f>
        <v>En curso</v>
      </c>
      <c r="K47" s="6" t="n">
        <f aca="false">LARGE($M$46:$M$78,A47)</f>
        <v>88.000073</v>
      </c>
      <c r="L47" s="6" t="str">
        <f aca="false">Acciones!B3&amp;" · "&amp;Acciones!C3</f>
        <v>P1 · A2 Co-creación de programas y proyectos</v>
      </c>
      <c r="M47" s="6" t="n">
        <f aca="false">IF(Acciones!F3="No",Acciones!I3+ROW()/1000000,-1)</f>
        <v>57.000047</v>
      </c>
    </row>
    <row r="48" customFormat="false" ht="15" hidden="false" customHeight="true" outlineLevel="0" collapsed="false">
      <c r="A48" s="1" t="n">
        <v>3</v>
      </c>
      <c r="B48" s="19" t="str">
        <f aca="false">INDEX($L$46:$L$78,MATCH(K48,$M$46:$M$78,0))</f>
        <v>P2 · A3 Sostenibilidad de los programas</v>
      </c>
      <c r="C48" s="19" t="n">
        <f aca="false">INDEX(Acciones!$I$2:$I$34,MATCH(K48,$M$46:$M$78,0))/100</f>
        <v>0.83</v>
      </c>
      <c r="D48" s="1" t="str">
        <f aca="false">INDEX(Acciones!$D$2:$D$34,MATCH(K48,$M$46:$M$78,0))</f>
        <v>En curso</v>
      </c>
      <c r="K48" s="6" t="n">
        <f aca="false">LARGE($M$46:$M$78,A48)</f>
        <v>83.000051</v>
      </c>
      <c r="L48" s="6" t="str">
        <f aca="false">Acciones!B4&amp;" · "&amp;Acciones!C4</f>
        <v>P1 · A3 Semilleros y jóvenes investigadores</v>
      </c>
      <c r="M48" s="6" t="n">
        <f aca="false">IF(Acciones!F4="No",Acciones!I4+ROW()/1000000,-1)</f>
        <v>38.000048</v>
      </c>
    </row>
    <row r="49" customFormat="false" ht="15" hidden="false" customHeight="true" outlineLevel="0" collapsed="false">
      <c r="A49" s="1" t="n">
        <v>4</v>
      </c>
      <c r="B49" s="19" t="str">
        <f aca="false">INDEX($L$46:$L$78,MATCH(K49,$M$46:$M$78,0))</f>
        <v>P6 · A5 Política salarial</v>
      </c>
      <c r="C49" s="19" t="n">
        <f aca="false">INDEX(Acciones!$I$2:$I$34,MATCH(K49,$M$46:$M$78,0))/100</f>
        <v>0.8</v>
      </c>
      <c r="D49" s="1" t="str">
        <f aca="false">INDEX(Acciones!$D$2:$D$34,MATCH(K49,$M$46:$M$78,0))</f>
        <v>En curso</v>
      </c>
      <c r="K49" s="6" t="n">
        <f aca="false">LARGE($M$46:$M$78,A49)</f>
        <v>80.000076</v>
      </c>
      <c r="L49" s="6" t="str">
        <f aca="false">Acciones!B5&amp;" · "&amp;Acciones!C5</f>
        <v>P2 · A1 Nueva oferta de formación avanzada y continua</v>
      </c>
      <c r="M49" s="6" t="n">
        <f aca="false">IF(Acciones!F5="No",Acciones!I5+ROW()/1000000,-1)</f>
        <v>74.000049</v>
      </c>
    </row>
    <row r="50" customFormat="false" ht="15" hidden="false" customHeight="true" outlineLevel="0" collapsed="false">
      <c r="A50" s="1" t="n">
        <v>5</v>
      </c>
      <c r="B50" s="19" t="str">
        <f aca="false">INDEX($L$46:$L$78,MATCH(K50,$M$46:$M$78,0))</f>
        <v>P6 · A4 Selección y vinculación</v>
      </c>
      <c r="C50" s="19" t="n">
        <f aca="false">INDEX(Acciones!$I$2:$I$34,MATCH(K50,$M$46:$M$78,0))/100</f>
        <v>0.8</v>
      </c>
      <c r="D50" s="1" t="str">
        <f aca="false">INDEX(Acciones!$D$2:$D$34,MATCH(K50,$M$46:$M$78,0))</f>
        <v>En curso</v>
      </c>
      <c r="K50" s="6" t="n">
        <f aca="false">LARGE($M$46:$M$78,A50)</f>
        <v>80.000075</v>
      </c>
      <c r="L50" s="6" t="str">
        <f aca="false">Acciones!B6&amp;" · "&amp;Acciones!C6</f>
        <v>P2 · A2 Aseguramiento de la calidad</v>
      </c>
      <c r="M50" s="6" t="n">
        <f aca="false">IF(Acciones!F6="No",Acciones!I6+ROW()/1000000,-1)</f>
        <v>79.00005</v>
      </c>
    </row>
    <row r="51" customFormat="false" ht="15" hidden="false" customHeight="true" outlineLevel="0" collapsed="false">
      <c r="A51" s="1" t="n">
        <v>6</v>
      </c>
      <c r="B51" s="19" t="str">
        <f aca="false">INDEX($L$46:$L$78,MATCH(K51,$M$46:$M$78,0))</f>
        <v>P2 · A2 Aseguramiento de la calidad</v>
      </c>
      <c r="C51" s="19" t="n">
        <f aca="false">INDEX(Acciones!$I$2:$I$34,MATCH(K51,$M$46:$M$78,0))/100</f>
        <v>0.79</v>
      </c>
      <c r="D51" s="1" t="str">
        <f aca="false">INDEX(Acciones!$D$2:$D$34,MATCH(K51,$M$46:$M$78,0))</f>
        <v>Mixto</v>
      </c>
      <c r="K51" s="6" t="n">
        <f aca="false">LARGE($M$46:$M$78,A51)</f>
        <v>79.00005</v>
      </c>
      <c r="L51" s="6" t="str">
        <f aca="false">Acciones!B7&amp;" · "&amp;Acciones!C7</f>
        <v>P2 · A3 Sostenibilidad de los programas</v>
      </c>
      <c r="M51" s="6" t="n">
        <f aca="false">IF(Acciones!F7="No",Acciones!I7+ROW()/1000000,-1)</f>
        <v>83.000051</v>
      </c>
    </row>
    <row r="52" customFormat="false" ht="15" hidden="false" customHeight="true" outlineLevel="0" collapsed="false">
      <c r="A52" s="1" t="n">
        <v>7</v>
      </c>
      <c r="B52" s="19" t="str">
        <f aca="false">INDEX($L$46:$L$78,MATCH(K52,$M$46:$M$78,0))</f>
        <v>P4 · A1 Transformación digital</v>
      </c>
      <c r="C52" s="19" t="n">
        <f aca="false">INDEX(Acciones!$I$2:$I$34,MATCH(K52,$M$46:$M$78,0))/100</f>
        <v>0.78</v>
      </c>
      <c r="D52" s="1" t="str">
        <f aca="false">INDEX(Acciones!$D$2:$D$34,MATCH(K52,$M$46:$M$78,0))</f>
        <v>En curso</v>
      </c>
      <c r="K52" s="6" t="n">
        <f aca="false">LARGE($M$46:$M$78,A52)</f>
        <v>78.000057</v>
      </c>
      <c r="L52" s="6" t="str">
        <f aca="false">Acciones!B8&amp;" · "&amp;Acciones!C8</f>
        <v>P3 · A1 Comunicación estratégica</v>
      </c>
      <c r="M52" s="6" t="n">
        <f aca="false">IF(Acciones!F8="No",Acciones!I8+ROW()/1000000,-1)</f>
        <v>51.000052</v>
      </c>
    </row>
    <row r="53" customFormat="false" ht="15" hidden="false" customHeight="true" outlineLevel="0" collapsed="false">
      <c r="A53" s="1" t="n">
        <v>8</v>
      </c>
      <c r="B53" s="19" t="str">
        <f aca="false">INDEX($L$46:$L$78,MATCH(K53,$M$46:$M$78,0))</f>
        <v>P1 · A1 Grupos y líneas de investigación</v>
      </c>
      <c r="C53" s="19" t="n">
        <f aca="false">INDEX(Acciones!$I$2:$I$34,MATCH(K53,$M$46:$M$78,0))/100</f>
        <v>0.75</v>
      </c>
      <c r="D53" s="1" t="str">
        <f aca="false">INDEX(Acciones!$D$2:$D$34,MATCH(K53,$M$46:$M$78,0))</f>
        <v>En curso</v>
      </c>
      <c r="K53" s="6" t="n">
        <f aca="false">LARGE($M$46:$M$78,A53)</f>
        <v>75.000046</v>
      </c>
      <c r="L53" s="6" t="str">
        <f aca="false">Acciones!B9&amp;" · "&amp;Acciones!C9</f>
        <v>P3 · A2 Comunicación para el desarrollo</v>
      </c>
      <c r="M53" s="6" t="n">
        <f aca="false">IF(Acciones!F9="No",Acciones!I9+ROW()/1000000,-1)</f>
        <v>42.000053</v>
      </c>
    </row>
    <row r="54" customFormat="false" ht="15" hidden="false" customHeight="true" outlineLevel="0" collapsed="false">
      <c r="A54" s="1" t="n">
        <v>9</v>
      </c>
      <c r="B54" s="19" t="str">
        <f aca="false">INDEX($L$46:$L$78,MATCH(K54,$M$46:$M$78,0))</f>
        <v>P2 · A1 Nueva oferta de formación avanzada y continua</v>
      </c>
      <c r="C54" s="19" t="n">
        <f aca="false">INDEX(Acciones!$I$2:$I$34,MATCH(K54,$M$46:$M$78,0))/100</f>
        <v>0.74</v>
      </c>
      <c r="D54" s="1" t="str">
        <f aca="false">INDEX(Acciones!$D$2:$D$34,MATCH(K54,$M$46:$M$78,0))</f>
        <v>En curso</v>
      </c>
      <c r="K54" s="6" t="n">
        <f aca="false">LARGE($M$46:$M$78,A54)</f>
        <v>74.000049</v>
      </c>
      <c r="L54" s="6" t="str">
        <f aca="false">Acciones!B10&amp;" · "&amp;Acciones!C10</f>
        <v>P3 · A3 Línea editorial</v>
      </c>
      <c r="M54" s="6" t="n">
        <f aca="false">IF(Acciones!F10="No",Acciones!I10+ROW()/1000000,-1)</f>
        <v>59.000054</v>
      </c>
    </row>
    <row r="55" customFormat="false" ht="15" hidden="false" customHeight="true" outlineLevel="0" collapsed="false">
      <c r="A55" s="1" t="n">
        <v>10</v>
      </c>
      <c r="B55" s="19" t="str">
        <f aca="false">INDEX($L$46:$L$78,MATCH(K55,$M$46:$M$78,0))</f>
        <v>P6 · A1 Bienestar, reconocimiento e incentivos</v>
      </c>
      <c r="C55" s="19" t="n">
        <f aca="false">INDEX(Acciones!$I$2:$I$34,MATCH(K55,$M$46:$M$78,0))/100</f>
        <v>0.72</v>
      </c>
      <c r="D55" s="1" t="str">
        <f aca="false">INDEX(Acciones!$D$2:$D$34,MATCH(K55,$M$46:$M$78,0))</f>
        <v>En curso</v>
      </c>
      <c r="K55" s="6" t="n">
        <f aca="false">LARGE($M$46:$M$78,A55)</f>
        <v>72.000072</v>
      </c>
      <c r="L55" s="6" t="str">
        <f aca="false">Acciones!B11&amp;" · "&amp;Acciones!C11</f>
        <v>P3 · A4 Redes, eventos y movilidades</v>
      </c>
      <c r="M55" s="6" t="n">
        <f aca="false">IF(Acciones!F11="No",Acciones!I11+ROW()/1000000,-1)</f>
        <v>42.000055</v>
      </c>
    </row>
    <row r="56" customFormat="false" ht="15" hidden="false" customHeight="true" outlineLevel="0" collapsed="false">
      <c r="A56" s="1" t="n">
        <v>11</v>
      </c>
      <c r="B56" s="19" t="str">
        <f aca="false">INDEX($L$46:$L$78,MATCH(K56,$M$46:$M$78,0))</f>
        <v>P5 · A2 Gestión de recursos y alianzas</v>
      </c>
      <c r="C56" s="19" t="n">
        <f aca="false">INDEX(Acciones!$I$2:$I$34,MATCH(K56,$M$46:$M$78,0))/100</f>
        <v>0.6</v>
      </c>
      <c r="D56" s="1" t="str">
        <f aca="false">INDEX(Acciones!$D$2:$D$34,MATCH(K56,$M$46:$M$78,0))</f>
        <v>En curso</v>
      </c>
      <c r="K56" s="6" t="n">
        <f aca="false">LARGE($M$46:$M$78,A56)</f>
        <v>60.000065</v>
      </c>
      <c r="L56" s="6" t="str">
        <f aca="false">Acciones!B12&amp;" · "&amp;Acciones!C12</f>
        <v>P3 · P3-N Metas editoriales nuevas</v>
      </c>
      <c r="M56" s="6" t="n">
        <f aca="false">IF(Acciones!F12="No",Acciones!I12+ROW()/1000000,-1)</f>
        <v>-1</v>
      </c>
    </row>
    <row r="57" customFormat="false" ht="15" hidden="false" customHeight="true" outlineLevel="0" collapsed="false">
      <c r="A57" s="1" t="n">
        <v>12</v>
      </c>
      <c r="B57" s="19" t="str">
        <f aca="false">INDEX($L$46:$L$78,MATCH(K57,$M$46:$M$78,0))</f>
        <v>P4 · A3 Plataforma digital (Ékora)</v>
      </c>
      <c r="C57" s="19" t="n">
        <f aca="false">INDEX(Acciones!$I$2:$I$34,MATCH(K57,$M$46:$M$78,0))/100</f>
        <v>0.6</v>
      </c>
      <c r="D57" s="1" t="str">
        <f aca="false">INDEX(Acciones!$D$2:$D$34,MATCH(K57,$M$46:$M$78,0))</f>
        <v>Rezagado</v>
      </c>
      <c r="K57" s="6" t="n">
        <f aca="false">LARGE($M$46:$M$78,A57)</f>
        <v>60.000059</v>
      </c>
      <c r="L57" s="6" t="str">
        <f aca="false">Acciones!B13&amp;" · "&amp;Acciones!C13</f>
        <v>P4 · A1 Transformación digital</v>
      </c>
      <c r="M57" s="6" t="n">
        <f aca="false">IF(Acciones!F13="No",Acciones!I13+ROW()/1000000,-1)</f>
        <v>78.000057</v>
      </c>
    </row>
    <row r="58" customFormat="false" ht="15" hidden="false" customHeight="true" outlineLevel="0" collapsed="false">
      <c r="A58" s="1" t="n">
        <v>13</v>
      </c>
      <c r="B58" s="19" t="str">
        <f aca="false">INDEX($L$46:$L$78,MATCH(K58,$M$46:$M$78,0))</f>
        <v>P3 · A3 Línea editorial</v>
      </c>
      <c r="C58" s="19" t="n">
        <f aca="false">INDEX(Acciones!$I$2:$I$34,MATCH(K58,$M$46:$M$78,0))/100</f>
        <v>0.59</v>
      </c>
      <c r="D58" s="1" t="str">
        <f aca="false">INDEX(Acciones!$D$2:$D$34,MATCH(K58,$M$46:$M$78,0))</f>
        <v>En curso</v>
      </c>
      <c r="K58" s="6" t="n">
        <f aca="false">LARGE($M$46:$M$78,A58)</f>
        <v>59.000054</v>
      </c>
      <c r="L58" s="6" t="str">
        <f aca="false">Acciones!B14&amp;" · "&amp;Acciones!C14</f>
        <v>P4 · A2 Infraestructura tecnológica</v>
      </c>
      <c r="M58" s="6" t="n">
        <f aca="false">IF(Acciones!F14="No",Acciones!I14+ROW()/1000000,-1)</f>
        <v>90.000058</v>
      </c>
    </row>
    <row r="59" customFormat="false" ht="15" hidden="false" customHeight="true" outlineLevel="0" collapsed="false">
      <c r="A59" s="1" t="n">
        <v>14</v>
      </c>
      <c r="B59" s="19" t="str">
        <f aca="false">INDEX($L$46:$L$78,MATCH(K59,$M$46:$M$78,0))</f>
        <v>P1 · A2 Co-creación de programas y proyectos</v>
      </c>
      <c r="C59" s="19" t="n">
        <f aca="false">INDEX(Acciones!$I$2:$I$34,MATCH(K59,$M$46:$M$78,0))/100</f>
        <v>0.57</v>
      </c>
      <c r="D59" s="1" t="str">
        <f aca="false">INDEX(Acciones!$D$2:$D$34,MATCH(K59,$M$46:$M$78,0))</f>
        <v>Mixto</v>
      </c>
      <c r="K59" s="6" t="n">
        <f aca="false">LARGE($M$46:$M$78,A59)</f>
        <v>57.000047</v>
      </c>
      <c r="L59" s="6" t="str">
        <f aca="false">Acciones!B15&amp;" · "&amp;Acciones!C15</f>
        <v>P4 · A3 Plataforma digital (Ékora)</v>
      </c>
      <c r="M59" s="6" t="n">
        <f aca="false">IF(Acciones!F15="No",Acciones!I15+ROW()/1000000,-1)</f>
        <v>60.000059</v>
      </c>
    </row>
    <row r="60" customFormat="false" ht="15" hidden="false" customHeight="true" outlineLevel="0" collapsed="false">
      <c r="A60" s="1" t="n">
        <v>15</v>
      </c>
      <c r="B60" s="19" t="str">
        <f aca="false">INDEX($L$46:$L$78,MATCH(K60,$M$46:$M$78,0))</f>
        <v>P3 · A1 Comunicación estratégica</v>
      </c>
      <c r="C60" s="19" t="n">
        <f aca="false">INDEX(Acciones!$I$2:$I$34,MATCH(K60,$M$46:$M$78,0))/100</f>
        <v>0.51</v>
      </c>
      <c r="D60" s="1" t="str">
        <f aca="false">INDEX(Acciones!$D$2:$D$34,MATCH(K60,$M$46:$M$78,0))</f>
        <v>En curso</v>
      </c>
      <c r="K60" s="6" t="n">
        <f aca="false">LARGE($M$46:$M$78,A60)</f>
        <v>51.000052</v>
      </c>
      <c r="L60" s="6" t="str">
        <f aca="false">Acciones!B16&amp;" · "&amp;Acciones!C16</f>
        <v>P4 · A4 Modelo pedagógico digital</v>
      </c>
      <c r="M60" s="6" t="n">
        <f aca="false">IF(Acciones!F16="No",Acciones!I16+ROW()/1000000,-1)</f>
        <v>29.00006</v>
      </c>
    </row>
    <row r="61" customFormat="false" ht="15" hidden="false" customHeight="true" outlineLevel="0" collapsed="false">
      <c r="A61" s="1" t="n">
        <v>16</v>
      </c>
      <c r="B61" s="19" t="str">
        <f aca="false">INDEX($L$46:$L$78,MATCH(K61,$M$46:$M$78,0))</f>
        <v>P6 · A3 Modelo por competencias</v>
      </c>
      <c r="C61" s="19" t="n">
        <f aca="false">INDEX(Acciones!$I$2:$I$34,MATCH(K61,$M$46:$M$78,0))/100</f>
        <v>0.5</v>
      </c>
      <c r="D61" s="1" t="str">
        <f aca="false">INDEX(Acciones!$D$2:$D$34,MATCH(K61,$M$46:$M$78,0))</f>
        <v>En curso</v>
      </c>
      <c r="K61" s="6" t="n">
        <f aca="false">LARGE($M$46:$M$78,A61)</f>
        <v>50.000074</v>
      </c>
      <c r="L61" s="6" t="str">
        <f aca="false">Acciones!B17&amp;" · "&amp;Acciones!C17</f>
        <v>P4 · A5 Metodologías lúdicas en lo digital</v>
      </c>
      <c r="M61" s="6" t="n">
        <f aca="false">IF(Acciones!F17="No",Acciones!I17+ROW()/1000000,-1)</f>
        <v>32.000061</v>
      </c>
    </row>
    <row r="62" customFormat="false" ht="15" hidden="false" customHeight="true" outlineLevel="0" collapsed="false">
      <c r="A62" s="1" t="n">
        <v>17</v>
      </c>
      <c r="B62" s="19" t="str">
        <f aca="false">INDEX($L$46:$L$78,MATCH(K62,$M$46:$M$78,0))</f>
        <v>P5 · A4 Escalamiento del modelo y nuevos centros</v>
      </c>
      <c r="C62" s="19" t="n">
        <f aca="false">INDEX(Acciones!$I$2:$I$34,MATCH(K62,$M$46:$M$78,0))/100</f>
        <v>0.5</v>
      </c>
      <c r="D62" s="1" t="str">
        <f aca="false">INDEX(Acciones!$D$2:$D$34,MATCH(K62,$M$46:$M$78,0))</f>
        <v>En curso</v>
      </c>
      <c r="K62" s="6" t="n">
        <f aca="false">LARGE($M$46:$M$78,A62)</f>
        <v>50.000067</v>
      </c>
      <c r="L62" s="6" t="str">
        <f aca="false">Acciones!B18&amp;" · "&amp;Acciones!C18</f>
        <v>P4 · A6 Escuela Digital internacional</v>
      </c>
      <c r="M62" s="6" t="n">
        <f aca="false">IF(Acciones!F18="No",Acciones!I18+ROW()/1000000,-1)</f>
        <v>10.000062</v>
      </c>
    </row>
    <row r="63" customFormat="false" ht="15" hidden="false" customHeight="true" outlineLevel="0" collapsed="false">
      <c r="A63" s="1" t="n">
        <v>18</v>
      </c>
      <c r="B63" s="19" t="str">
        <f aca="false">INDEX($L$46:$L$78,MATCH(K63,$M$46:$M$78,0))</f>
        <v>P5 · A3 CEANJ</v>
      </c>
      <c r="C63" s="19" t="n">
        <f aca="false">INDEX(Acciones!$I$2:$I$34,MATCH(K63,$M$46:$M$78,0))/100</f>
        <v>0.48</v>
      </c>
      <c r="D63" s="1" t="str">
        <f aca="false">INDEX(Acciones!$D$2:$D$34,MATCH(K63,$M$46:$M$78,0))</f>
        <v>Rezagado</v>
      </c>
      <c r="K63" s="6" t="n">
        <f aca="false">LARGE($M$46:$M$78,A63)</f>
        <v>48.000066</v>
      </c>
      <c r="L63" s="6" t="str">
        <f aca="false">Acciones!B19&amp;" · "&amp;Acciones!C19</f>
        <v>P4 · P4-N Ventas de Ékora</v>
      </c>
      <c r="M63" s="6" t="n">
        <f aca="false">IF(Acciones!F19="No",Acciones!I19+ROW()/1000000,-1)</f>
        <v>-1</v>
      </c>
    </row>
    <row r="64" customFormat="false" ht="15" hidden="false" customHeight="true" outlineLevel="0" collapsed="false">
      <c r="A64" s="1" t="n">
        <v>19</v>
      </c>
      <c r="B64" s="19" t="str">
        <f aca="false">INDEX($L$46:$L$78,MATCH(K64,$M$46:$M$78,0))</f>
        <v>P5 · A1 Autoevaluación y reconocimiento ante Minciencias</v>
      </c>
      <c r="C64" s="19" t="n">
        <f aca="false">INDEX(Acciones!$I$2:$I$34,MATCH(K64,$M$46:$M$78,0))/100</f>
        <v>0.47</v>
      </c>
      <c r="D64" s="1" t="str">
        <f aca="false">INDEX(Acciones!$D$2:$D$34,MATCH(K64,$M$46:$M$78,0))</f>
        <v>Mixto</v>
      </c>
      <c r="K64" s="6" t="n">
        <f aca="false">LARGE($M$46:$M$78,A64)</f>
        <v>47.000064</v>
      </c>
      <c r="L64" s="6" t="str">
        <f aca="false">Acciones!B20&amp;" · "&amp;Acciones!C20</f>
        <v>P5 · A1 Autoevaluación y reconocimiento ante Minciencias</v>
      </c>
      <c r="M64" s="6" t="n">
        <f aca="false">IF(Acciones!F20="No",Acciones!I20+ROW()/1000000,-1)</f>
        <v>47.000064</v>
      </c>
    </row>
    <row r="65" customFormat="false" ht="15" hidden="false" customHeight="true" outlineLevel="0" collapsed="false">
      <c r="A65" s="1" t="n">
        <v>20</v>
      </c>
      <c r="B65" s="19" t="str">
        <f aca="false">INDEX($L$46:$L$78,MATCH(K65,$M$46:$M$78,0))</f>
        <v>P5 · A6 Portafolio institucional</v>
      </c>
      <c r="C65" s="19" t="n">
        <f aca="false">INDEX(Acciones!$I$2:$I$34,MATCH(K65,$M$46:$M$78,0))/100</f>
        <v>0.45</v>
      </c>
      <c r="D65" s="1" t="str">
        <f aca="false">INDEX(Acciones!$D$2:$D$34,MATCH(K65,$M$46:$M$78,0))</f>
        <v>En curso</v>
      </c>
      <c r="K65" s="6" t="n">
        <f aca="false">LARGE($M$46:$M$78,A65)</f>
        <v>45.000069</v>
      </c>
      <c r="L65" s="6" t="str">
        <f aca="false">Acciones!B21&amp;" · "&amp;Acciones!C21</f>
        <v>P5 · A2 Gestión de recursos y alianzas</v>
      </c>
      <c r="M65" s="6" t="n">
        <f aca="false">IF(Acciones!F21="No",Acciones!I21+ROW()/1000000,-1)</f>
        <v>60.000065</v>
      </c>
    </row>
    <row r="66" customFormat="false" ht="15" hidden="false" customHeight="true" outlineLevel="0" collapsed="false">
      <c r="A66" s="1" t="n">
        <v>21</v>
      </c>
      <c r="B66" s="19" t="str">
        <f aca="false">INDEX($L$46:$L$78,MATCH(K66,$M$46:$M$78,0))</f>
        <v>P3 · A4 Redes, eventos y movilidades</v>
      </c>
      <c r="C66" s="19" t="n">
        <f aca="false">INDEX(Acciones!$I$2:$I$34,MATCH(K66,$M$46:$M$78,0))/100</f>
        <v>0.42</v>
      </c>
      <c r="D66" s="1" t="str">
        <f aca="false">INDEX(Acciones!$D$2:$D$34,MATCH(K66,$M$46:$M$78,0))</f>
        <v>Mixto</v>
      </c>
      <c r="K66" s="6" t="n">
        <f aca="false">LARGE($M$46:$M$78,A66)</f>
        <v>42.000055</v>
      </c>
      <c r="L66" s="6" t="str">
        <f aca="false">Acciones!B22&amp;" · "&amp;Acciones!C22</f>
        <v>P5 · A3 CEANJ</v>
      </c>
      <c r="M66" s="6" t="n">
        <f aca="false">IF(Acciones!F22="No",Acciones!I22+ROW()/1000000,-1)</f>
        <v>48.000066</v>
      </c>
    </row>
    <row r="67" customFormat="false" ht="15" hidden="false" customHeight="true" outlineLevel="0" collapsed="false">
      <c r="A67" s="1" t="n">
        <v>22</v>
      </c>
      <c r="B67" s="19" t="str">
        <f aca="false">INDEX($L$46:$L$78,MATCH(K67,$M$46:$M$78,0))</f>
        <v>P3 · A2 Comunicación para el desarrollo</v>
      </c>
      <c r="C67" s="19" t="n">
        <f aca="false">INDEX(Acciones!$I$2:$I$34,MATCH(K67,$M$46:$M$78,0))/100</f>
        <v>0.42</v>
      </c>
      <c r="D67" s="1" t="str">
        <f aca="false">INDEX(Acciones!$D$2:$D$34,MATCH(K67,$M$46:$M$78,0))</f>
        <v>En curso</v>
      </c>
      <c r="K67" s="6" t="n">
        <f aca="false">LARGE($M$46:$M$78,A67)</f>
        <v>42.000053</v>
      </c>
      <c r="L67" s="6" t="str">
        <f aca="false">Acciones!B23&amp;" · "&amp;Acciones!C23</f>
        <v>P5 · A4 Escalamiento del modelo y nuevos centros</v>
      </c>
      <c r="M67" s="6" t="n">
        <f aca="false">IF(Acciones!F23="No",Acciones!I23+ROW()/1000000,-1)</f>
        <v>50.000067</v>
      </c>
    </row>
    <row r="68" customFormat="false" ht="15" hidden="false" customHeight="true" outlineLevel="0" collapsed="false">
      <c r="A68" s="1" t="n">
        <v>23</v>
      </c>
      <c r="B68" s="19" t="str">
        <f aca="false">INDEX($L$46:$L$78,MATCH(K68,$M$46:$M$78,0))</f>
        <v>P5 · A5 Procesos con la metodología MEGA</v>
      </c>
      <c r="C68" s="19" t="n">
        <f aca="false">INDEX(Acciones!$I$2:$I$34,MATCH(K68,$M$46:$M$78,0))/100</f>
        <v>0.4</v>
      </c>
      <c r="D68" s="1" t="str">
        <f aca="false">INDEX(Acciones!$D$2:$D$34,MATCH(K68,$M$46:$M$78,0))</f>
        <v>En curso</v>
      </c>
      <c r="K68" s="6" t="n">
        <f aca="false">LARGE($M$46:$M$78,A68)</f>
        <v>40.000068</v>
      </c>
      <c r="L68" s="6" t="str">
        <f aca="false">Acciones!B24&amp;" · "&amp;Acciones!C24</f>
        <v>P5 · A5 Procesos con la metodología MEGA</v>
      </c>
      <c r="M68" s="6" t="n">
        <f aca="false">IF(Acciones!F24="No",Acciones!I24+ROW()/1000000,-1)</f>
        <v>40.000068</v>
      </c>
    </row>
    <row r="69" customFormat="false" ht="15" hidden="false" customHeight="true" outlineLevel="0" collapsed="false">
      <c r="A69" s="1" t="n">
        <v>24</v>
      </c>
      <c r="B69" s="19" t="str">
        <f aca="false">INDEX($L$46:$L$78,MATCH(K69,$M$46:$M$78,0))</f>
        <v>P1 · A3 Semilleros y jóvenes investigadores</v>
      </c>
      <c r="C69" s="19" t="n">
        <f aca="false">INDEX(Acciones!$I$2:$I$34,MATCH(K69,$M$46:$M$78,0))/100</f>
        <v>0.38</v>
      </c>
      <c r="D69" s="1" t="str">
        <f aca="false">INDEX(Acciones!$D$2:$D$34,MATCH(K69,$M$46:$M$78,0))</f>
        <v>Rezagado</v>
      </c>
      <c r="K69" s="6" t="n">
        <f aca="false">LARGE($M$46:$M$78,A69)</f>
        <v>38.000048</v>
      </c>
      <c r="L69" s="6" t="str">
        <f aca="false">Acciones!B25&amp;" · "&amp;Acciones!C25</f>
        <v>P5 · A6 Portafolio institucional</v>
      </c>
      <c r="M69" s="6" t="n">
        <f aca="false">IF(Acciones!F25="No",Acciones!I25+ROW()/1000000,-1)</f>
        <v>45.000069</v>
      </c>
    </row>
    <row r="70" customFormat="false" ht="15" hidden="false" customHeight="true" outlineLevel="0" collapsed="false">
      <c r="A70" s="1" t="n">
        <v>25</v>
      </c>
      <c r="B70" s="19" t="str">
        <f aca="false">INDEX($L$46:$L$78,MATCH(K70,$M$46:$M$78,0))</f>
        <v>P6 · A6 Modelo de arrendamiento</v>
      </c>
      <c r="C70" s="19" t="n">
        <f aca="false">INDEX(Acciones!$I$2:$I$34,MATCH(K70,$M$46:$M$78,0))/100</f>
        <v>0.35</v>
      </c>
      <c r="D70" s="1" t="str">
        <f aca="false">INDEX(Acciones!$D$2:$D$34,MATCH(K70,$M$46:$M$78,0))</f>
        <v>Mixto</v>
      </c>
      <c r="K70" s="6" t="n">
        <f aca="false">LARGE($M$46:$M$78,A70)</f>
        <v>35.000077</v>
      </c>
      <c r="L70" s="6" t="str">
        <f aca="false">Acciones!B26&amp;" · "&amp;Acciones!C26</f>
        <v>P5 · A7 Composición de los ingresos</v>
      </c>
      <c r="M70" s="6" t="n">
        <f aca="false">IF(Acciones!F26="No",Acciones!I26+ROW()/1000000,-1)</f>
        <v>30.00007</v>
      </c>
    </row>
    <row r="71" customFormat="false" ht="15" hidden="false" customHeight="true" outlineLevel="0" collapsed="false">
      <c r="A71" s="1" t="n">
        <v>26</v>
      </c>
      <c r="B71" s="19" t="str">
        <f aca="false">INDEX($L$46:$L$78,MATCH(K71,$M$46:$M$78,0))</f>
        <v>P4 · A5 Metodologías lúdicas en lo digital</v>
      </c>
      <c r="C71" s="19" t="n">
        <f aca="false">INDEX(Acciones!$I$2:$I$34,MATCH(K71,$M$46:$M$78,0))/100</f>
        <v>0.32</v>
      </c>
      <c r="D71" s="1" t="str">
        <f aca="false">INDEX(Acciones!$D$2:$D$34,MATCH(K71,$M$46:$M$78,0))</f>
        <v>Mixto</v>
      </c>
      <c r="K71" s="6" t="n">
        <f aca="false">LARGE($M$46:$M$78,A71)</f>
        <v>32.000061</v>
      </c>
      <c r="L71" s="6" t="str">
        <f aca="false">Acciones!B27&amp;" · "&amp;Acciones!C27</f>
        <v>P5 · P5-N Capacitación, planeación y portafolio</v>
      </c>
      <c r="M71" s="6" t="n">
        <f aca="false">IF(Acciones!F27="No",Acciones!I27+ROW()/1000000,-1)</f>
        <v>-1</v>
      </c>
    </row>
    <row r="72" customFormat="false" ht="15" hidden="false" customHeight="true" outlineLevel="0" collapsed="false">
      <c r="A72" s="1" t="n">
        <v>27</v>
      </c>
      <c r="B72" s="19" t="str">
        <f aca="false">INDEX($L$46:$L$78,MATCH(K72,$M$46:$M$78,0))</f>
        <v>P5 · A7 Composición de los ingresos</v>
      </c>
      <c r="C72" s="19" t="n">
        <f aca="false">INDEX(Acciones!$I$2:$I$34,MATCH(K72,$M$46:$M$78,0))/100</f>
        <v>0.3</v>
      </c>
      <c r="D72" s="1" t="str">
        <f aca="false">INDEX(Acciones!$D$2:$D$34,MATCH(K72,$M$46:$M$78,0))</f>
        <v>Rezagado</v>
      </c>
      <c r="K72" s="6" t="n">
        <f aca="false">LARGE($M$46:$M$78,A72)</f>
        <v>30.00007</v>
      </c>
      <c r="L72" s="6" t="str">
        <f aca="false">Acciones!B28&amp;" · "&amp;Acciones!C28</f>
        <v>P6 · A1 Bienestar, reconocimiento e incentivos</v>
      </c>
      <c r="M72" s="6" t="n">
        <f aca="false">IF(Acciones!F28="No",Acciones!I28+ROW()/1000000,-1)</f>
        <v>72.000072</v>
      </c>
    </row>
    <row r="73" customFormat="false" ht="15" hidden="false" customHeight="true" outlineLevel="0" collapsed="false">
      <c r="A73" s="1" t="n">
        <v>28</v>
      </c>
      <c r="B73" s="19" t="str">
        <f aca="false">INDEX($L$46:$L$78,MATCH(K73,$M$46:$M$78,0))</f>
        <v>P4 · A4 Modelo pedagógico digital</v>
      </c>
      <c r="C73" s="19" t="n">
        <f aca="false">INDEX(Acciones!$I$2:$I$34,MATCH(K73,$M$46:$M$78,0))/100</f>
        <v>0.29</v>
      </c>
      <c r="D73" s="1" t="str">
        <f aca="false">INDEX(Acciones!$D$2:$D$34,MATCH(K73,$M$46:$M$78,0))</f>
        <v>Rezagado</v>
      </c>
      <c r="K73" s="6" t="n">
        <f aca="false">LARGE($M$46:$M$78,A73)</f>
        <v>29.00006</v>
      </c>
      <c r="L73" s="6" t="str">
        <f aca="false">Acciones!B29&amp;" · "&amp;Acciones!C29</f>
        <v>P6 · A2 SG-SST</v>
      </c>
      <c r="M73" s="6" t="n">
        <f aca="false">IF(Acciones!F29="No",Acciones!I29+ROW()/1000000,-1)</f>
        <v>88.000073</v>
      </c>
    </row>
    <row r="74" customFormat="false" ht="15" hidden="false" customHeight="true" outlineLevel="0" collapsed="false">
      <c r="A74" s="1" t="n">
        <v>29</v>
      </c>
      <c r="B74" s="19" t="str">
        <f aca="false">INDEX($L$46:$L$78,MATCH(K74,$M$46:$M$78,0))</f>
        <v>P4 · A6 Escuela Digital internacional</v>
      </c>
      <c r="C74" s="19" t="n">
        <f aca="false">INDEX(Acciones!$I$2:$I$34,MATCH(K74,$M$46:$M$78,0))/100</f>
        <v>0.1</v>
      </c>
      <c r="D74" s="1" t="str">
        <f aca="false">INDEX(Acciones!$D$2:$D$34,MATCH(K74,$M$46:$M$78,0))</f>
        <v>Rezagado</v>
      </c>
      <c r="K74" s="6" t="n">
        <f aca="false">LARGE($M$46:$M$78,A74)</f>
        <v>10.000062</v>
      </c>
      <c r="L74" s="6" t="str">
        <f aca="false">Acciones!B30&amp;" · "&amp;Acciones!C30</f>
        <v>P6 · A3 Modelo por competencias</v>
      </c>
      <c r="M74" s="6" t="n">
        <f aca="false">IF(Acciones!F30="No",Acciones!I30+ROW()/1000000,-1)</f>
        <v>50.000074</v>
      </c>
    </row>
    <row r="75" customFormat="false" ht="15" hidden="false" customHeight="true" outlineLevel="0" collapsed="false">
      <c r="L75" s="6" t="str">
        <f aca="false">Acciones!B31&amp;" · "&amp;Acciones!C31</f>
        <v>P6 · A4 Selección y vinculación</v>
      </c>
      <c r="M75" s="6" t="n">
        <f aca="false">IF(Acciones!F31="No",Acciones!I31+ROW()/1000000,-1)</f>
        <v>80.000075</v>
      </c>
    </row>
    <row r="76" customFormat="false" ht="15" hidden="false" customHeight="true" outlineLevel="0" collapsed="false">
      <c r="L76" s="6" t="str">
        <f aca="false">Acciones!B32&amp;" · "&amp;Acciones!C32</f>
        <v>P6 · A5 Política salarial</v>
      </c>
      <c r="M76" s="6" t="n">
        <f aca="false">IF(Acciones!F32="No",Acciones!I32+ROW()/1000000,-1)</f>
        <v>80.000076</v>
      </c>
    </row>
    <row r="77" customFormat="false" ht="15" hidden="false" customHeight="true" outlineLevel="0" collapsed="false">
      <c r="A77" s="17" t="s">
        <v>656</v>
      </c>
      <c r="L77" s="6" t="str">
        <f aca="false">Acciones!B33&amp;" · "&amp;Acciones!C33</f>
        <v>P6 · A6 Modelo de arrendamiento</v>
      </c>
      <c r="M77" s="6" t="n">
        <f aca="false">IF(Acciones!F33="No",Acciones!I33+ROW()/1000000,-1)</f>
        <v>35.000077</v>
      </c>
    </row>
    <row r="78" customFormat="false" ht="15" hidden="false" customHeight="true" outlineLevel="0" collapsed="false">
      <c r="A78" s="18" t="s">
        <v>634</v>
      </c>
      <c r="B78" s="18" t="s">
        <v>657</v>
      </c>
      <c r="C78" s="18" t="s">
        <v>658</v>
      </c>
      <c r="L78" s="6" t="str">
        <f aca="false">Acciones!B34&amp;" · "&amp;Acciones!C34</f>
        <v>P6 · P6-N Nómina y afiliaciones</v>
      </c>
      <c r="M78" s="6" t="n">
        <f aca="false">IF(Acciones!F34="No",Acciones!I34+ROW()/1000000,-1)</f>
        <v>-1</v>
      </c>
    </row>
    <row r="79" customFormat="false" ht="45" hidden="false" customHeight="true" outlineLevel="0" collapsed="false">
      <c r="A79" s="22" t="str">
        <f aca="false">Programas!B2</f>
        <v>P1 Investigación-desarrollo</v>
      </c>
      <c r="B79" s="22" t="str">
        <f aca="false">Programas!D2</f>
        <v>Grupos categorizados; proyectos del SGR destacados; producción continua</v>
      </c>
      <c r="C79" s="22" t="str">
        <f aca="false">Programas!E2</f>
        <v>Medición por investigador; oferta propia sin financiar; nuevas generaciones</v>
      </c>
    </row>
    <row r="80" customFormat="false" ht="45" hidden="false" customHeight="true" outlineLevel="0" collapsed="false">
      <c r="A80" s="22" t="str">
        <f aca="false">Programas!B3</f>
        <v>P2 Formación</v>
      </c>
      <c r="B80" s="22" t="str">
        <f aca="false">Programas!D3</f>
        <v>Acreditaciones, registros y cohortes por convenios</v>
      </c>
      <c r="C80" s="22" t="str">
        <f aca="false">Programas!E3</f>
        <v>Nuevos programas sin cohorte; Maestría en Primera Infancia</v>
      </c>
    </row>
    <row r="81" customFormat="false" ht="45" hidden="false" customHeight="true" outlineLevel="0" collapsed="false">
      <c r="A81" s="22" t="str">
        <f aca="false">Programas!B4</f>
        <v>P3 Circulación del conocimiento</v>
      </c>
      <c r="B81" s="22" t="str">
        <f aca="false">Programas!D4</f>
        <v>Revistas, producción editorial, redes y eventos internacionales</v>
      </c>
      <c r="C81" s="22" t="str">
        <f aca="false">Programas!E4</f>
        <v>Documentos sin aprobar; feria propia; convenios de circulación; mediciones</v>
      </c>
    </row>
    <row r="82" customFormat="false" ht="45" hidden="false" customHeight="true" outlineLevel="0" collapsed="false">
      <c r="A82" s="22" t="str">
        <f aca="false">Programas!B5</f>
        <v>P4 Transformación digital</v>
      </c>
      <c r="B82" s="22" t="str">
        <f aca="false">Programas!D5</f>
        <v>Sistemas, infraestructura y soporte</v>
      </c>
      <c r="C82" s="22" t="str">
        <f aca="false">Programas!E5</f>
        <v>Escuela Digital: plataforma, modelo pedagógico, metodologías y cursos internacionales</v>
      </c>
    </row>
    <row r="83" customFormat="false" ht="45" hidden="false" customHeight="true" outlineLevel="0" collapsed="false">
      <c r="A83" s="22" t="str">
        <f aca="false">Programas!B6</f>
        <v>P5 Planeación y CEA</v>
      </c>
      <c r="B83" s="22" t="str">
        <f aca="false">Programas!D6</f>
        <v>Reconocimiento ante Minciencias; gestión de recursos; nueva estructura</v>
      </c>
      <c r="C83" s="22" t="str">
        <f aca="false">Programas!E6</f>
        <v>Documentos sin aprobar; ningún CEA nuevo; ingresos lejos de la meta</v>
      </c>
    </row>
    <row r="84" customFormat="false" ht="45" hidden="false" customHeight="true" outlineLevel="0" collapsed="false">
      <c r="A84" s="22" t="str">
        <f aca="false">Programas!B7</f>
        <v>P6 Talento humano</v>
      </c>
      <c r="B84" s="22" t="str">
        <f aca="false">Programas!D7</f>
        <v>Nivelación salarial, SG-SST y talleres</v>
      </c>
      <c r="C84" s="22" t="str">
        <f aca="false">Programas!E7</f>
        <v>Políticas formales y mediciones de clima y percepción</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1"/>
    <col collapsed="false" customWidth="true" hidden="false" outlineLevel="0" max="2" min="2" style="1" width="18"/>
    <col collapsed="false" customWidth="true" hidden="false" outlineLevel="0" max="3" min="3" style="1" width="52"/>
    <col collapsed="false" customWidth="true" hidden="false" outlineLevel="0" max="4" min="4" style="1" width="80"/>
    <col collapsed="false" customWidth="true" hidden="false" outlineLevel="0" max="5" min="5" style="1" width="8"/>
  </cols>
  <sheetData>
    <row r="1" customFormat="false" ht="15" hidden="false" customHeight="true" outlineLevel="0" collapsed="false">
      <c r="A1" s="15" t="s">
        <v>659</v>
      </c>
      <c r="B1" s="15" t="s">
        <v>660</v>
      </c>
      <c r="C1" s="15" t="s">
        <v>661</v>
      </c>
      <c r="D1" s="15" t="s">
        <v>662</v>
      </c>
      <c r="E1" s="15" t="s">
        <v>663</v>
      </c>
    </row>
    <row r="2" customFormat="false" ht="23.25" hidden="false" customHeight="true" outlineLevel="0" collapsed="false">
      <c r="A2" s="23" t="s">
        <v>664</v>
      </c>
      <c r="B2" s="23" t="s">
        <v>665</v>
      </c>
      <c r="C2" s="23" t="s">
        <v>666</v>
      </c>
      <c r="D2" s="23" t="s">
        <v>667</v>
      </c>
      <c r="E2" s="23" t="n">
        <v>1</v>
      </c>
    </row>
    <row r="3" customFormat="false" ht="23.25" hidden="false" customHeight="true" outlineLevel="0" collapsed="false">
      <c r="A3" s="23" t="s">
        <v>300</v>
      </c>
      <c r="B3" s="23" t="s">
        <v>665</v>
      </c>
      <c r="C3" s="23" t="s">
        <v>668</v>
      </c>
      <c r="D3" s="23" t="s">
        <v>669</v>
      </c>
      <c r="E3" s="23" t="n">
        <v>2</v>
      </c>
    </row>
    <row r="4" customFormat="false" ht="23.25" hidden="false" customHeight="true" outlineLevel="0" collapsed="false">
      <c r="A4" s="23" t="s">
        <v>340</v>
      </c>
      <c r="B4" s="23" t="s">
        <v>670</v>
      </c>
      <c r="C4" s="23" t="s">
        <v>671</v>
      </c>
      <c r="D4" s="23" t="s">
        <v>672</v>
      </c>
      <c r="E4" s="23" t="n">
        <v>3</v>
      </c>
    </row>
    <row r="5" customFormat="false" ht="23.25" hidden="false" customHeight="true" outlineLevel="0" collapsed="false">
      <c r="A5" s="23" t="s">
        <v>253</v>
      </c>
      <c r="B5" s="23" t="s">
        <v>673</v>
      </c>
      <c r="C5" s="23" t="s">
        <v>674</v>
      </c>
      <c r="D5" s="23" t="s">
        <v>675</v>
      </c>
      <c r="E5" s="23" t="n">
        <v>4</v>
      </c>
    </row>
    <row r="6" customFormat="false" ht="15" hidden="false" customHeight="true" outlineLevel="0" collapsed="false">
      <c r="A6" s="23" t="s">
        <v>501</v>
      </c>
      <c r="B6" s="23" t="s">
        <v>673</v>
      </c>
      <c r="C6" s="23" t="s">
        <v>676</v>
      </c>
      <c r="D6" s="23" t="s">
        <v>677</v>
      </c>
      <c r="E6" s="23" t="n">
        <v>5</v>
      </c>
    </row>
    <row r="7" customFormat="false" ht="23.25" hidden="false" customHeight="true" outlineLevel="0" collapsed="false">
      <c r="A7" s="23" t="s">
        <v>258</v>
      </c>
      <c r="B7" s="23" t="s">
        <v>673</v>
      </c>
      <c r="C7" s="23" t="s">
        <v>678</v>
      </c>
      <c r="D7" s="23" t="s">
        <v>679</v>
      </c>
      <c r="E7" s="23" t="n">
        <v>6</v>
      </c>
    </row>
    <row r="8" customFormat="false" ht="23.25" hidden="false" customHeight="true" outlineLevel="0" collapsed="false">
      <c r="A8" s="23" t="s">
        <v>214</v>
      </c>
      <c r="B8" s="23" t="s">
        <v>680</v>
      </c>
      <c r="C8" s="23" t="s">
        <v>681</v>
      </c>
      <c r="D8" s="23" t="s">
        <v>682</v>
      </c>
      <c r="E8" s="23" t="n">
        <v>7</v>
      </c>
    </row>
    <row r="9" customFormat="false" ht="23.25" hidden="false" customHeight="true" outlineLevel="0" collapsed="false">
      <c r="A9" s="23" t="s">
        <v>232</v>
      </c>
      <c r="B9" s="23" t="s">
        <v>680</v>
      </c>
      <c r="C9" s="23" t="s">
        <v>683</v>
      </c>
      <c r="D9" s="23" t="s">
        <v>684</v>
      </c>
      <c r="E9" s="23" t="n">
        <v>8</v>
      </c>
    </row>
    <row r="10" customFormat="false" ht="23.25" hidden="false" customHeight="true" outlineLevel="0" collapsed="false">
      <c r="A10" s="23" t="s">
        <v>263</v>
      </c>
      <c r="B10" s="23" t="s">
        <v>680</v>
      </c>
      <c r="C10" s="23" t="s">
        <v>685</v>
      </c>
      <c r="D10" s="23" t="s">
        <v>686</v>
      </c>
      <c r="E10" s="23" t="n">
        <v>9</v>
      </c>
    </row>
    <row r="12" customFormat="false" ht="1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16"/>
    <col collapsed="false" customWidth="true" hidden="false" outlineLevel="0" max="3" min="3" style="1" width="11"/>
    <col collapsed="false" customWidth="true" hidden="false" outlineLevel="0" max="4" min="4" style="1" width="8"/>
    <col collapsed="false" customWidth="true" hidden="false" outlineLevel="0" max="5" min="5" style="1" width="90"/>
    <col collapsed="false" customWidth="true" hidden="false" outlineLevel="0" max="6" min="6" style="1" width="14"/>
  </cols>
  <sheetData>
    <row r="1" customFormat="false" ht="26.25" hidden="false" customHeight="true" outlineLevel="0" collapsed="false">
      <c r="A1" s="24" t="s">
        <v>687</v>
      </c>
      <c r="B1" s="24" t="s">
        <v>208</v>
      </c>
      <c r="C1" s="24" t="s">
        <v>23</v>
      </c>
      <c r="D1" s="24" t="s">
        <v>688</v>
      </c>
      <c r="E1" s="24" t="s">
        <v>689</v>
      </c>
      <c r="F1" s="24" t="s">
        <v>690</v>
      </c>
    </row>
    <row r="2" customFormat="false" ht="23.25" hidden="false" customHeight="true" outlineLevel="0" collapsed="false">
      <c r="A2" s="23" t="s">
        <v>691</v>
      </c>
      <c r="B2" s="23" t="s">
        <v>253</v>
      </c>
      <c r="C2" s="23" t="s">
        <v>29</v>
      </c>
      <c r="D2" s="23" t="n">
        <v>2023</v>
      </c>
      <c r="E2" s="23" t="s">
        <v>692</v>
      </c>
      <c r="F2" s="23" t="s">
        <v>693</v>
      </c>
    </row>
    <row r="3" customFormat="false" ht="15" hidden="false" customHeight="true" outlineLevel="0" collapsed="false">
      <c r="A3" s="23" t="s">
        <v>694</v>
      </c>
      <c r="B3" s="23" t="s">
        <v>253</v>
      </c>
      <c r="C3" s="23" t="s">
        <v>29</v>
      </c>
      <c r="D3" s="23" t="n">
        <v>2024</v>
      </c>
      <c r="E3" s="23" t="s">
        <v>695</v>
      </c>
      <c r="F3" s="23" t="s">
        <v>696</v>
      </c>
    </row>
    <row r="4" customFormat="false" ht="15" hidden="false" customHeight="true" outlineLevel="0" collapsed="false">
      <c r="A4" s="23" t="s">
        <v>697</v>
      </c>
      <c r="B4" s="23" t="s">
        <v>253</v>
      </c>
      <c r="C4" s="23" t="s">
        <v>49</v>
      </c>
      <c r="D4" s="23" t="n">
        <v>2023</v>
      </c>
      <c r="E4" s="23" t="s">
        <v>698</v>
      </c>
      <c r="F4" s="23" t="s">
        <v>699</v>
      </c>
    </row>
    <row r="5" customFormat="false" ht="23.25" hidden="false" customHeight="true" outlineLevel="0" collapsed="false">
      <c r="A5" s="23" t="s">
        <v>700</v>
      </c>
      <c r="B5" s="23" t="s">
        <v>501</v>
      </c>
      <c r="C5" s="23" t="s">
        <v>45</v>
      </c>
      <c r="D5" s="23" t="n">
        <v>2023</v>
      </c>
      <c r="E5" s="23" t="s">
        <v>701</v>
      </c>
      <c r="F5" s="23" t="s">
        <v>702</v>
      </c>
    </row>
    <row r="6" customFormat="false" ht="15" hidden="false" customHeight="true" outlineLevel="0" collapsed="false">
      <c r="A6" s="23" t="s">
        <v>703</v>
      </c>
      <c r="B6" s="23" t="s">
        <v>501</v>
      </c>
      <c r="C6" s="23" t="s">
        <v>45</v>
      </c>
      <c r="D6" s="23" t="n">
        <v>2023</v>
      </c>
      <c r="E6" s="23" t="s">
        <v>704</v>
      </c>
      <c r="F6" s="23" t="s">
        <v>705</v>
      </c>
    </row>
    <row r="7" customFormat="false" ht="23.25" hidden="false" customHeight="true" outlineLevel="0" collapsed="false">
      <c r="A7" s="23" t="s">
        <v>706</v>
      </c>
      <c r="B7" s="23" t="s">
        <v>214</v>
      </c>
      <c r="C7" s="23" t="s">
        <v>29</v>
      </c>
      <c r="D7" s="23" t="n">
        <v>2023</v>
      </c>
      <c r="E7" s="23" t="s">
        <v>707</v>
      </c>
      <c r="F7" s="23" t="s">
        <v>693</v>
      </c>
    </row>
    <row r="8" customFormat="false" ht="34.5" hidden="false" customHeight="true" outlineLevel="0" collapsed="false">
      <c r="A8" s="23" t="s">
        <v>708</v>
      </c>
      <c r="B8" s="23" t="s">
        <v>232</v>
      </c>
      <c r="C8" s="23" t="s">
        <v>29</v>
      </c>
      <c r="D8" s="23" t="n">
        <v>2023</v>
      </c>
      <c r="E8" s="23" t="s">
        <v>709</v>
      </c>
      <c r="F8" s="23" t="s">
        <v>710</v>
      </c>
    </row>
    <row r="9" customFormat="false" ht="15" hidden="false" customHeight="true" outlineLevel="0" collapsed="false">
      <c r="A9" s="23" t="s">
        <v>711</v>
      </c>
      <c r="B9" s="23" t="s">
        <v>232</v>
      </c>
      <c r="C9" s="23" t="s">
        <v>37</v>
      </c>
      <c r="D9" s="23" t="n">
        <v>2024</v>
      </c>
      <c r="E9" s="23" t="s">
        <v>712</v>
      </c>
      <c r="F9" s="23" t="s">
        <v>713</v>
      </c>
    </row>
    <row r="10" customFormat="false" ht="23.25" hidden="false" customHeight="true" outlineLevel="0" collapsed="false">
      <c r="A10" s="23" t="s">
        <v>714</v>
      </c>
      <c r="B10" s="23" t="s">
        <v>232</v>
      </c>
      <c r="C10" s="23" t="s">
        <v>37</v>
      </c>
      <c r="D10" s="23" t="n">
        <v>2023</v>
      </c>
      <c r="E10" s="23" t="s">
        <v>715</v>
      </c>
      <c r="F10" s="23" t="s">
        <v>716</v>
      </c>
    </row>
    <row r="11" customFormat="false" ht="15" hidden="false" customHeight="true" outlineLevel="0" collapsed="false">
      <c r="A11" s="23" t="s">
        <v>717</v>
      </c>
      <c r="B11" s="23" t="s">
        <v>232</v>
      </c>
      <c r="C11" s="23" t="s">
        <v>37</v>
      </c>
      <c r="D11" s="23" t="n">
        <v>2024</v>
      </c>
      <c r="E11" s="23" t="s">
        <v>718</v>
      </c>
      <c r="F11" s="23" t="s">
        <v>713</v>
      </c>
    </row>
    <row r="12" customFormat="false" ht="15" hidden="false" customHeight="true" outlineLevel="0" collapsed="false">
      <c r="A12" s="23" t="s">
        <v>719</v>
      </c>
      <c r="B12" s="23" t="s">
        <v>232</v>
      </c>
      <c r="C12" s="23" t="s">
        <v>37</v>
      </c>
      <c r="D12" s="23" t="n">
        <v>2023</v>
      </c>
      <c r="E12" s="23" t="s">
        <v>720</v>
      </c>
      <c r="F12" s="23" t="s">
        <v>721</v>
      </c>
    </row>
    <row r="13" customFormat="false" ht="23.25" hidden="false" customHeight="true" outlineLevel="0" collapsed="false">
      <c r="A13" s="23" t="s">
        <v>722</v>
      </c>
      <c r="B13" s="23" t="s">
        <v>263</v>
      </c>
      <c r="C13" s="23" t="s">
        <v>33</v>
      </c>
      <c r="D13" s="23" t="n">
        <v>2023</v>
      </c>
      <c r="E13" s="23" t="s">
        <v>723</v>
      </c>
      <c r="F13" s="23" t="s">
        <v>724</v>
      </c>
    </row>
    <row r="14" customFormat="false" ht="15" hidden="false" customHeight="true" outlineLevel="0" collapsed="false">
      <c r="A14" s="23" t="s">
        <v>725</v>
      </c>
      <c r="B14" s="23" t="s">
        <v>263</v>
      </c>
      <c r="C14" s="23" t="s">
        <v>33</v>
      </c>
      <c r="D14" s="23" t="n">
        <v>2024</v>
      </c>
      <c r="E14" s="23" t="s">
        <v>726</v>
      </c>
      <c r="F14" s="23" t="s">
        <v>727</v>
      </c>
    </row>
  </sheetData>
  <dataValidations count="1">
    <dataValidation allowBlank="true" error="Elija una categoría de la hoja Minciencias." errorStyle="stop" operator="between" showDropDown="false" showErrorMessage="true" showInputMessage="false" sqref="B2:B300" type="list">
      <formula1>Minciencias!$A$2:$A$10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8"/>
    <col collapsed="false" customWidth="true" hidden="false" outlineLevel="0" max="3" min="3" style="1" width="60"/>
    <col collapsed="false" customWidth="true" hidden="false" outlineLevel="0" max="4" min="4" style="1" width="13"/>
    <col collapsed="false" customWidth="true" hidden="false" outlineLevel="0" max="5" min="5" style="1" width="70"/>
    <col collapsed="false" customWidth="true" hidden="false" outlineLevel="0" max="6" min="6" style="1" width="24"/>
    <col collapsed="false" customWidth="true" hidden="false" outlineLevel="0" max="7" min="7" style="1" width="22"/>
    <col collapsed="false" customWidth="true" hidden="false" outlineLevel="0" max="8" min="8" style="1" width="50"/>
  </cols>
  <sheetData>
    <row r="1" customFormat="false" ht="26.25" hidden="false" customHeight="true" outlineLevel="0" collapsed="false">
      <c r="A1" s="24" t="s">
        <v>728</v>
      </c>
      <c r="B1" s="24" t="s">
        <v>661</v>
      </c>
      <c r="C1" s="24" t="s">
        <v>729</v>
      </c>
      <c r="D1" s="24" t="s">
        <v>730</v>
      </c>
      <c r="E1" s="24" t="s">
        <v>731</v>
      </c>
      <c r="F1" s="24" t="s">
        <v>732</v>
      </c>
      <c r="G1" s="24" t="s">
        <v>733</v>
      </c>
      <c r="H1" s="24" t="s">
        <v>734</v>
      </c>
    </row>
    <row r="2" customFormat="false" ht="23.25" hidden="false" customHeight="true" outlineLevel="0" collapsed="false">
      <c r="A2" s="23" t="s">
        <v>735</v>
      </c>
      <c r="B2" s="23" t="s">
        <v>664</v>
      </c>
      <c r="C2" s="23" t="s">
        <v>736</v>
      </c>
      <c r="D2" s="23" t="s">
        <v>251</v>
      </c>
      <c r="E2" s="23" t="s">
        <v>737</v>
      </c>
      <c r="F2" s="23"/>
      <c r="G2" s="23" t="s">
        <v>738</v>
      </c>
      <c r="H2" s="25"/>
    </row>
    <row r="3" customFormat="false" ht="34.5" hidden="false" customHeight="true" outlineLevel="0" collapsed="false">
      <c r="A3" s="23" t="s">
        <v>739</v>
      </c>
      <c r="B3" s="23" t="s">
        <v>664</v>
      </c>
      <c r="C3" s="23" t="s">
        <v>740</v>
      </c>
      <c r="D3" s="23" t="s">
        <v>107</v>
      </c>
      <c r="E3" s="23" t="s">
        <v>741</v>
      </c>
      <c r="F3" s="23" t="s">
        <v>742</v>
      </c>
      <c r="G3" s="23"/>
      <c r="H3" s="25"/>
    </row>
    <row r="4" customFormat="false" ht="23.25" hidden="false" customHeight="true" outlineLevel="0" collapsed="false">
      <c r="A4" s="23" t="s">
        <v>743</v>
      </c>
      <c r="B4" s="23" t="s">
        <v>300</v>
      </c>
      <c r="C4" s="23" t="s">
        <v>744</v>
      </c>
      <c r="D4" s="23" t="s">
        <v>107</v>
      </c>
      <c r="E4" s="23" t="s">
        <v>745</v>
      </c>
      <c r="F4" s="23" t="s">
        <v>746</v>
      </c>
      <c r="G4" s="23"/>
      <c r="H4" s="25"/>
    </row>
    <row r="5" customFormat="false" ht="23.25" hidden="false" customHeight="true" outlineLevel="0" collapsed="false">
      <c r="A5" s="23" t="s">
        <v>747</v>
      </c>
      <c r="B5" s="23" t="s">
        <v>300</v>
      </c>
      <c r="C5" s="23" t="s">
        <v>748</v>
      </c>
      <c r="D5" s="23" t="s">
        <v>107</v>
      </c>
      <c r="E5" s="23" t="s">
        <v>749</v>
      </c>
      <c r="F5" s="23" t="s">
        <v>750</v>
      </c>
      <c r="G5" s="23"/>
      <c r="H5" s="25"/>
    </row>
    <row r="6" customFormat="false" ht="34.5" hidden="false" customHeight="true" outlineLevel="0" collapsed="false">
      <c r="A6" s="23" t="s">
        <v>751</v>
      </c>
      <c r="B6" s="23" t="s">
        <v>300</v>
      </c>
      <c r="C6" s="23" t="s">
        <v>752</v>
      </c>
      <c r="D6" s="23" t="s">
        <v>107</v>
      </c>
      <c r="E6" s="23" t="s">
        <v>753</v>
      </c>
      <c r="F6" s="23" t="s">
        <v>754</v>
      </c>
      <c r="G6" s="23"/>
      <c r="H6" s="25"/>
    </row>
    <row r="7" customFormat="false" ht="23.25" hidden="false" customHeight="true" outlineLevel="0" collapsed="false">
      <c r="A7" s="23" t="s">
        <v>755</v>
      </c>
      <c r="B7" s="23" t="s">
        <v>300</v>
      </c>
      <c r="C7" s="23" t="s">
        <v>756</v>
      </c>
      <c r="D7" s="23" t="s">
        <v>107</v>
      </c>
      <c r="E7" s="23" t="s">
        <v>757</v>
      </c>
      <c r="F7" s="23" t="s">
        <v>758</v>
      </c>
      <c r="G7" s="23"/>
      <c r="H7" s="25"/>
    </row>
    <row r="8" customFormat="false" ht="23.25" hidden="false" customHeight="true" outlineLevel="0" collapsed="false">
      <c r="A8" s="23" t="s">
        <v>759</v>
      </c>
      <c r="B8" s="23" t="s">
        <v>300</v>
      </c>
      <c r="C8" s="23" t="s">
        <v>760</v>
      </c>
      <c r="D8" s="23" t="s">
        <v>60</v>
      </c>
      <c r="E8" s="23" t="s">
        <v>761</v>
      </c>
      <c r="F8" s="23" t="s">
        <v>572</v>
      </c>
      <c r="G8" s="23"/>
      <c r="H8" s="25"/>
    </row>
    <row r="9" customFormat="false" ht="34.5" hidden="false" customHeight="true" outlineLevel="0" collapsed="false">
      <c r="A9" s="23" t="s">
        <v>762</v>
      </c>
      <c r="B9" s="23" t="s">
        <v>300</v>
      </c>
      <c r="C9" s="23" t="s">
        <v>763</v>
      </c>
      <c r="D9" s="23" t="s">
        <v>60</v>
      </c>
      <c r="E9" s="23" t="s">
        <v>764</v>
      </c>
      <c r="F9" s="23" t="s">
        <v>765</v>
      </c>
      <c r="G9" s="23"/>
      <c r="H9" s="25"/>
    </row>
    <row r="10" customFormat="false" ht="23.25" hidden="false" customHeight="true" outlineLevel="0" collapsed="false">
      <c r="A10" s="23" t="s">
        <v>766</v>
      </c>
      <c r="B10" s="23" t="s">
        <v>300</v>
      </c>
      <c r="C10" s="23" t="s">
        <v>767</v>
      </c>
      <c r="D10" s="23" t="s">
        <v>251</v>
      </c>
      <c r="E10" s="23" t="s">
        <v>768</v>
      </c>
      <c r="F10" s="23" t="s">
        <v>541</v>
      </c>
      <c r="G10" s="23" t="s">
        <v>769</v>
      </c>
      <c r="H10" s="25"/>
    </row>
    <row r="11" customFormat="false" ht="34.5" hidden="false" customHeight="true" outlineLevel="0" collapsed="false">
      <c r="A11" s="23" t="s">
        <v>770</v>
      </c>
      <c r="B11" s="23" t="s">
        <v>300</v>
      </c>
      <c r="C11" s="23" t="s">
        <v>771</v>
      </c>
      <c r="D11" s="23" t="s">
        <v>107</v>
      </c>
      <c r="E11" s="23" t="s">
        <v>772</v>
      </c>
      <c r="F11" s="23" t="s">
        <v>241</v>
      </c>
      <c r="G11" s="23"/>
      <c r="H11" s="25"/>
    </row>
    <row r="12" customFormat="false" ht="34.5" hidden="false" customHeight="true" outlineLevel="0" collapsed="false">
      <c r="A12" s="23" t="s">
        <v>773</v>
      </c>
      <c r="B12" s="23" t="s">
        <v>300</v>
      </c>
      <c r="C12" s="23" t="s">
        <v>774</v>
      </c>
      <c r="D12" s="23" t="s">
        <v>107</v>
      </c>
      <c r="E12" s="23" t="s">
        <v>775</v>
      </c>
      <c r="F12" s="23" t="s">
        <v>237</v>
      </c>
      <c r="G12" s="23"/>
      <c r="H12" s="25"/>
    </row>
    <row r="13" customFormat="false" ht="23.25" hidden="false" customHeight="true" outlineLevel="0" collapsed="false">
      <c r="A13" s="23" t="s">
        <v>776</v>
      </c>
      <c r="B13" s="23" t="s">
        <v>300</v>
      </c>
      <c r="C13" s="23" t="s">
        <v>777</v>
      </c>
      <c r="D13" s="23" t="s">
        <v>251</v>
      </c>
      <c r="E13" s="23" t="s">
        <v>778</v>
      </c>
      <c r="F13" s="23" t="s">
        <v>587</v>
      </c>
      <c r="G13" s="23" t="s">
        <v>738</v>
      </c>
      <c r="H13" s="25"/>
    </row>
    <row r="14" customFormat="false" ht="34.5" hidden="false" customHeight="true" outlineLevel="0" collapsed="false">
      <c r="A14" s="23" t="s">
        <v>779</v>
      </c>
      <c r="B14" s="23" t="s">
        <v>300</v>
      </c>
      <c r="C14" s="23" t="s">
        <v>780</v>
      </c>
      <c r="D14" s="23" t="s">
        <v>107</v>
      </c>
      <c r="E14" s="23" t="s">
        <v>781</v>
      </c>
      <c r="F14" s="23" t="s">
        <v>782</v>
      </c>
      <c r="G14" s="23"/>
      <c r="H14" s="25"/>
    </row>
    <row r="15" customFormat="false" ht="34.5" hidden="false" customHeight="true" outlineLevel="0" collapsed="false">
      <c r="A15" s="23" t="s">
        <v>783</v>
      </c>
      <c r="B15" s="23" t="s">
        <v>340</v>
      </c>
      <c r="C15" s="23" t="s">
        <v>784</v>
      </c>
      <c r="D15" s="23" t="s">
        <v>107</v>
      </c>
      <c r="E15" s="23" t="s">
        <v>785</v>
      </c>
      <c r="F15" s="23" t="s">
        <v>786</v>
      </c>
      <c r="G15" s="23"/>
      <c r="H15" s="25"/>
    </row>
    <row r="16" customFormat="false" ht="15" hidden="false" customHeight="true" outlineLevel="0" collapsed="false">
      <c r="A16" s="23" t="s">
        <v>787</v>
      </c>
      <c r="B16" s="23" t="s">
        <v>340</v>
      </c>
      <c r="C16" s="23" t="s">
        <v>740</v>
      </c>
      <c r="D16" s="23" t="s">
        <v>107</v>
      </c>
      <c r="E16" s="23" t="s">
        <v>788</v>
      </c>
      <c r="F16" s="23" t="s">
        <v>57</v>
      </c>
      <c r="G16" s="23"/>
      <c r="H16" s="25"/>
    </row>
    <row r="17" customFormat="false" ht="34.5" hidden="false" customHeight="true" outlineLevel="0" collapsed="false">
      <c r="A17" s="23" t="s">
        <v>789</v>
      </c>
      <c r="B17" s="23" t="s">
        <v>340</v>
      </c>
      <c r="C17" s="23" t="s">
        <v>790</v>
      </c>
      <c r="D17" s="23" t="s">
        <v>107</v>
      </c>
      <c r="E17" s="23" t="s">
        <v>791</v>
      </c>
      <c r="F17" s="23" t="s">
        <v>792</v>
      </c>
      <c r="G17" s="23"/>
      <c r="H17" s="25"/>
    </row>
    <row r="18" customFormat="false" ht="34.5" hidden="false" customHeight="true" outlineLevel="0" collapsed="false">
      <c r="A18" s="23" t="s">
        <v>793</v>
      </c>
      <c r="B18" s="23" t="s">
        <v>340</v>
      </c>
      <c r="C18" s="23" t="s">
        <v>794</v>
      </c>
      <c r="D18" s="23" t="s">
        <v>107</v>
      </c>
      <c r="E18" s="23" t="s">
        <v>795</v>
      </c>
      <c r="F18" s="23" t="s">
        <v>796</v>
      </c>
      <c r="G18" s="23"/>
      <c r="H18" s="25"/>
    </row>
    <row r="19" customFormat="false" ht="23.25" hidden="false" customHeight="true" outlineLevel="0" collapsed="false">
      <c r="A19" s="23" t="s">
        <v>797</v>
      </c>
      <c r="B19" s="23" t="s">
        <v>340</v>
      </c>
      <c r="C19" s="23" t="s">
        <v>798</v>
      </c>
      <c r="D19" s="23" t="s">
        <v>107</v>
      </c>
      <c r="E19" s="23" t="s">
        <v>799</v>
      </c>
      <c r="F19" s="23" t="s">
        <v>800</v>
      </c>
      <c r="G19" s="23"/>
      <c r="H19" s="25"/>
    </row>
    <row r="20" customFormat="false" ht="23.25" hidden="false" customHeight="true" outlineLevel="0" collapsed="false">
      <c r="A20" s="23" t="s">
        <v>801</v>
      </c>
      <c r="B20" s="23" t="s">
        <v>340</v>
      </c>
      <c r="C20" s="23" t="s">
        <v>802</v>
      </c>
      <c r="D20" s="23" t="s">
        <v>107</v>
      </c>
      <c r="E20" s="23" t="s">
        <v>803</v>
      </c>
      <c r="F20" s="23" t="s">
        <v>804</v>
      </c>
      <c r="G20" s="23"/>
      <c r="H20" s="25"/>
    </row>
    <row r="21" customFormat="false" ht="23.25" hidden="false" customHeight="true" outlineLevel="0" collapsed="false">
      <c r="A21" s="23" t="s">
        <v>805</v>
      </c>
      <c r="B21" s="23" t="s">
        <v>340</v>
      </c>
      <c r="C21" s="23" t="s">
        <v>806</v>
      </c>
      <c r="D21" s="23" t="s">
        <v>107</v>
      </c>
      <c r="E21" s="23" t="s">
        <v>807</v>
      </c>
      <c r="F21" s="23" t="s">
        <v>245</v>
      </c>
      <c r="G21" s="23"/>
      <c r="H21" s="25"/>
    </row>
    <row r="22" customFormat="false" ht="23.25" hidden="false" customHeight="true" outlineLevel="0" collapsed="false">
      <c r="A22" s="23" t="s">
        <v>808</v>
      </c>
      <c r="B22" s="23" t="s">
        <v>340</v>
      </c>
      <c r="C22" s="23" t="s">
        <v>809</v>
      </c>
      <c r="D22" s="23" t="s">
        <v>251</v>
      </c>
      <c r="E22" s="23" t="s">
        <v>810</v>
      </c>
      <c r="F22" s="23" t="s">
        <v>145</v>
      </c>
      <c r="G22" s="23" t="s">
        <v>811</v>
      </c>
      <c r="H22" s="25"/>
    </row>
    <row r="23" customFormat="false" ht="23.25" hidden="false" customHeight="true" outlineLevel="0" collapsed="false">
      <c r="A23" s="23" t="s">
        <v>812</v>
      </c>
      <c r="B23" s="23" t="s">
        <v>340</v>
      </c>
      <c r="C23" s="23" t="s">
        <v>813</v>
      </c>
      <c r="D23" s="23" t="s">
        <v>107</v>
      </c>
      <c r="E23" s="23" t="s">
        <v>814</v>
      </c>
      <c r="F23" s="23" t="s">
        <v>815</v>
      </c>
      <c r="G23" s="23"/>
      <c r="H23" s="25"/>
    </row>
    <row r="24" customFormat="false" ht="23.25" hidden="false" customHeight="true" outlineLevel="0" collapsed="false">
      <c r="A24" s="23" t="s">
        <v>816</v>
      </c>
      <c r="B24" s="23" t="s">
        <v>253</v>
      </c>
      <c r="C24" s="23" t="s">
        <v>817</v>
      </c>
      <c r="D24" s="23" t="s">
        <v>107</v>
      </c>
      <c r="E24" s="23" t="s">
        <v>818</v>
      </c>
      <c r="F24" s="23" t="s">
        <v>819</v>
      </c>
      <c r="G24" s="23"/>
      <c r="H24" s="25"/>
    </row>
    <row r="25" customFormat="false" ht="23.25" hidden="false" customHeight="true" outlineLevel="0" collapsed="false">
      <c r="A25" s="23" t="s">
        <v>820</v>
      </c>
      <c r="B25" s="23" t="s">
        <v>253</v>
      </c>
      <c r="C25" s="23" t="s">
        <v>821</v>
      </c>
      <c r="D25" s="23" t="s">
        <v>251</v>
      </c>
      <c r="E25" s="23" t="s">
        <v>822</v>
      </c>
      <c r="F25" s="23"/>
      <c r="G25" s="23" t="s">
        <v>823</v>
      </c>
      <c r="H25" s="25"/>
    </row>
    <row r="26" customFormat="false" ht="23.25" hidden="false" customHeight="true" outlineLevel="0" collapsed="false">
      <c r="A26" s="23" t="s">
        <v>824</v>
      </c>
      <c r="B26" s="23" t="s">
        <v>253</v>
      </c>
      <c r="C26" s="23" t="s">
        <v>825</v>
      </c>
      <c r="D26" s="23" t="s">
        <v>251</v>
      </c>
      <c r="E26" s="23" t="s">
        <v>826</v>
      </c>
      <c r="F26" s="23"/>
      <c r="G26" s="23" t="s">
        <v>823</v>
      </c>
      <c r="H26" s="25"/>
    </row>
    <row r="27" customFormat="false" ht="15" hidden="false" customHeight="true" outlineLevel="0" collapsed="false">
      <c r="A27" s="23" t="s">
        <v>827</v>
      </c>
      <c r="B27" s="23" t="s">
        <v>253</v>
      </c>
      <c r="C27" s="23" t="s">
        <v>828</v>
      </c>
      <c r="D27" s="23" t="s">
        <v>251</v>
      </c>
      <c r="E27" s="23" t="s">
        <v>829</v>
      </c>
      <c r="F27" s="23"/>
      <c r="G27" s="23" t="s">
        <v>823</v>
      </c>
      <c r="H27" s="25"/>
    </row>
    <row r="28" customFormat="false" ht="23.25" hidden="false" customHeight="true" outlineLevel="0" collapsed="false">
      <c r="A28" s="23" t="s">
        <v>830</v>
      </c>
      <c r="B28" s="23" t="s">
        <v>253</v>
      </c>
      <c r="C28" s="23" t="s">
        <v>831</v>
      </c>
      <c r="D28" s="23" t="s">
        <v>60</v>
      </c>
      <c r="E28" s="23" t="s">
        <v>832</v>
      </c>
      <c r="F28" s="23" t="s">
        <v>57</v>
      </c>
      <c r="G28" s="23"/>
      <c r="H28" s="25"/>
    </row>
    <row r="29" customFormat="false" ht="23.25" hidden="false" customHeight="true" outlineLevel="0" collapsed="false">
      <c r="A29" s="23" t="s">
        <v>833</v>
      </c>
      <c r="B29" s="23" t="s">
        <v>253</v>
      </c>
      <c r="C29" s="23" t="s">
        <v>834</v>
      </c>
      <c r="D29" s="23" t="s">
        <v>251</v>
      </c>
      <c r="E29" s="23" t="s">
        <v>835</v>
      </c>
      <c r="F29" s="23"/>
      <c r="G29" s="23" t="s">
        <v>836</v>
      </c>
      <c r="H29" s="25"/>
    </row>
    <row r="30" customFormat="false" ht="23.25" hidden="false" customHeight="true" outlineLevel="0" collapsed="false">
      <c r="A30" s="23" t="s">
        <v>837</v>
      </c>
      <c r="B30" s="23" t="s">
        <v>253</v>
      </c>
      <c r="C30" s="23" t="s">
        <v>838</v>
      </c>
      <c r="D30" s="23" t="s">
        <v>251</v>
      </c>
      <c r="E30" s="23" t="s">
        <v>839</v>
      </c>
      <c r="F30" s="23"/>
      <c r="G30" s="23" t="s">
        <v>840</v>
      </c>
      <c r="H30" s="25"/>
    </row>
    <row r="31" customFormat="false" ht="23.25" hidden="false" customHeight="true" outlineLevel="0" collapsed="false">
      <c r="A31" s="23" t="s">
        <v>841</v>
      </c>
      <c r="B31" s="23" t="s">
        <v>253</v>
      </c>
      <c r="C31" s="23" t="s">
        <v>842</v>
      </c>
      <c r="D31" s="23" t="s">
        <v>107</v>
      </c>
      <c r="E31" s="23" t="s">
        <v>843</v>
      </c>
      <c r="F31" s="23" t="s">
        <v>844</v>
      </c>
      <c r="G31" s="23"/>
      <c r="H31" s="25"/>
    </row>
    <row r="32" customFormat="false" ht="23.25" hidden="false" customHeight="true" outlineLevel="0" collapsed="false">
      <c r="A32" s="23" t="s">
        <v>845</v>
      </c>
      <c r="B32" s="23" t="s">
        <v>253</v>
      </c>
      <c r="C32" s="23" t="s">
        <v>846</v>
      </c>
      <c r="D32" s="23" t="s">
        <v>251</v>
      </c>
      <c r="E32" s="23" t="s">
        <v>847</v>
      </c>
      <c r="F32" s="23"/>
      <c r="G32" s="23" t="s">
        <v>823</v>
      </c>
      <c r="H32" s="25"/>
    </row>
    <row r="33" customFormat="false" ht="15" hidden="false" customHeight="true" outlineLevel="0" collapsed="false">
      <c r="A33" s="23" t="s">
        <v>848</v>
      </c>
      <c r="B33" s="23" t="s">
        <v>253</v>
      </c>
      <c r="C33" s="23" t="s">
        <v>849</v>
      </c>
      <c r="D33" s="23" t="s">
        <v>251</v>
      </c>
      <c r="E33" s="23" t="s">
        <v>850</v>
      </c>
      <c r="F33" s="23"/>
      <c r="G33" s="23" t="s">
        <v>836</v>
      </c>
      <c r="H33" s="25"/>
    </row>
    <row r="34" customFormat="false" ht="34.5" hidden="false" customHeight="true" outlineLevel="0" collapsed="false">
      <c r="A34" s="23" t="s">
        <v>851</v>
      </c>
      <c r="B34" s="23" t="s">
        <v>253</v>
      </c>
      <c r="C34" s="23" t="s">
        <v>852</v>
      </c>
      <c r="D34" s="23" t="s">
        <v>107</v>
      </c>
      <c r="E34" s="23" t="s">
        <v>853</v>
      </c>
      <c r="F34" s="23" t="s">
        <v>854</v>
      </c>
      <c r="G34" s="23"/>
      <c r="H34" s="25"/>
    </row>
    <row r="35" customFormat="false" ht="34.5" hidden="false" customHeight="true" outlineLevel="0" collapsed="false">
      <c r="A35" s="23" t="s">
        <v>855</v>
      </c>
      <c r="B35" s="23" t="s">
        <v>501</v>
      </c>
      <c r="C35" s="23" t="s">
        <v>856</v>
      </c>
      <c r="D35" s="23" t="s">
        <v>107</v>
      </c>
      <c r="E35" s="23" t="s">
        <v>857</v>
      </c>
      <c r="F35" s="23" t="s">
        <v>858</v>
      </c>
      <c r="G35" s="23"/>
      <c r="H35" s="25"/>
    </row>
    <row r="36" customFormat="false" ht="23.25" hidden="false" customHeight="true" outlineLevel="0" collapsed="false">
      <c r="A36" s="23" t="s">
        <v>859</v>
      </c>
      <c r="B36" s="23" t="s">
        <v>501</v>
      </c>
      <c r="C36" s="23" t="s">
        <v>860</v>
      </c>
      <c r="D36" s="23" t="s">
        <v>107</v>
      </c>
      <c r="E36" s="23" t="s">
        <v>861</v>
      </c>
      <c r="F36" s="23" t="s">
        <v>862</v>
      </c>
      <c r="G36" s="23"/>
      <c r="H36" s="25"/>
    </row>
    <row r="37" customFormat="false" ht="34.5" hidden="false" customHeight="true" outlineLevel="0" collapsed="false">
      <c r="A37" s="23" t="s">
        <v>863</v>
      </c>
      <c r="B37" s="23" t="s">
        <v>501</v>
      </c>
      <c r="C37" s="23" t="s">
        <v>864</v>
      </c>
      <c r="D37" s="23" t="s">
        <v>251</v>
      </c>
      <c r="E37" s="23" t="s">
        <v>865</v>
      </c>
      <c r="F37" s="23"/>
      <c r="G37" s="23" t="s">
        <v>866</v>
      </c>
      <c r="H37" s="25"/>
    </row>
    <row r="38" customFormat="false" ht="34.5" hidden="false" customHeight="true" outlineLevel="0" collapsed="false">
      <c r="A38" s="23" t="s">
        <v>867</v>
      </c>
      <c r="B38" s="23" t="s">
        <v>501</v>
      </c>
      <c r="C38" s="23" t="s">
        <v>868</v>
      </c>
      <c r="D38" s="23" t="s">
        <v>60</v>
      </c>
      <c r="E38" s="23" t="s">
        <v>869</v>
      </c>
      <c r="F38" s="23" t="s">
        <v>870</v>
      </c>
      <c r="G38" s="23"/>
      <c r="H38" s="25"/>
    </row>
    <row r="39" customFormat="false" ht="34.5" hidden="false" customHeight="true" outlineLevel="0" collapsed="false">
      <c r="A39" s="23" t="s">
        <v>871</v>
      </c>
      <c r="B39" s="23" t="s">
        <v>501</v>
      </c>
      <c r="C39" s="23" t="s">
        <v>872</v>
      </c>
      <c r="D39" s="23" t="s">
        <v>107</v>
      </c>
      <c r="E39" s="23" t="s">
        <v>873</v>
      </c>
      <c r="F39" s="23" t="s">
        <v>518</v>
      </c>
      <c r="G39" s="23"/>
      <c r="H39" s="25"/>
    </row>
    <row r="40" customFormat="false" ht="23.25" hidden="false" customHeight="true" outlineLevel="0" collapsed="false">
      <c r="A40" s="23" t="s">
        <v>874</v>
      </c>
      <c r="B40" s="23" t="s">
        <v>258</v>
      </c>
      <c r="C40" s="23" t="s">
        <v>875</v>
      </c>
      <c r="D40" s="23" t="s">
        <v>251</v>
      </c>
      <c r="E40" s="23" t="s">
        <v>876</v>
      </c>
      <c r="F40" s="23"/>
      <c r="G40" s="23" t="s">
        <v>877</v>
      </c>
      <c r="H40" s="25"/>
    </row>
    <row r="41" customFormat="false" ht="15" hidden="false" customHeight="true" outlineLevel="0" collapsed="false">
      <c r="A41" s="23" t="s">
        <v>878</v>
      </c>
      <c r="B41" s="23" t="s">
        <v>258</v>
      </c>
      <c r="C41" s="23" t="s">
        <v>879</v>
      </c>
      <c r="D41" s="23" t="s">
        <v>251</v>
      </c>
      <c r="E41" s="23" t="s">
        <v>880</v>
      </c>
      <c r="F41" s="23"/>
      <c r="G41" s="23" t="s">
        <v>881</v>
      </c>
      <c r="H41" s="25"/>
    </row>
    <row r="42" customFormat="false" ht="23.25" hidden="false" customHeight="true" outlineLevel="0" collapsed="false">
      <c r="A42" s="23" t="s">
        <v>882</v>
      </c>
      <c r="B42" s="23" t="s">
        <v>258</v>
      </c>
      <c r="C42" s="23" t="s">
        <v>883</v>
      </c>
      <c r="D42" s="23" t="s">
        <v>107</v>
      </c>
      <c r="E42" s="23" t="s">
        <v>884</v>
      </c>
      <c r="F42" s="23" t="s">
        <v>885</v>
      </c>
      <c r="G42" s="23"/>
      <c r="H42" s="25"/>
    </row>
    <row r="43" customFormat="false" ht="23.25" hidden="false" customHeight="true" outlineLevel="0" collapsed="false">
      <c r="A43" s="23" t="s">
        <v>886</v>
      </c>
      <c r="B43" s="23" t="s">
        <v>258</v>
      </c>
      <c r="C43" s="23" t="s">
        <v>887</v>
      </c>
      <c r="D43" s="23" t="s">
        <v>107</v>
      </c>
      <c r="E43" s="23" t="s">
        <v>888</v>
      </c>
      <c r="F43" s="23" t="s">
        <v>889</v>
      </c>
      <c r="G43" s="23"/>
      <c r="H43" s="25"/>
    </row>
    <row r="44" customFormat="false" ht="23.25" hidden="false" customHeight="true" outlineLevel="0" collapsed="false">
      <c r="A44" s="23" t="s">
        <v>890</v>
      </c>
      <c r="B44" s="23" t="s">
        <v>258</v>
      </c>
      <c r="C44" s="23" t="s">
        <v>891</v>
      </c>
      <c r="D44" s="23" t="s">
        <v>107</v>
      </c>
      <c r="E44" s="23" t="s">
        <v>892</v>
      </c>
      <c r="F44" s="23" t="s">
        <v>893</v>
      </c>
      <c r="G44" s="23"/>
      <c r="H44" s="25"/>
    </row>
    <row r="45" customFormat="false" ht="23.25" hidden="false" customHeight="true" outlineLevel="0" collapsed="false">
      <c r="A45" s="23" t="s">
        <v>894</v>
      </c>
      <c r="B45" s="23" t="s">
        <v>258</v>
      </c>
      <c r="C45" s="23" t="s">
        <v>895</v>
      </c>
      <c r="D45" s="23" t="s">
        <v>107</v>
      </c>
      <c r="E45" s="23" t="s">
        <v>896</v>
      </c>
      <c r="F45" s="23" t="s">
        <v>897</v>
      </c>
      <c r="G45" s="23"/>
      <c r="H45" s="25"/>
    </row>
    <row r="46" customFormat="false" ht="23.25" hidden="false" customHeight="true" outlineLevel="0" collapsed="false">
      <c r="A46" s="23" t="s">
        <v>898</v>
      </c>
      <c r="B46" s="23" t="s">
        <v>258</v>
      </c>
      <c r="C46" s="23" t="s">
        <v>899</v>
      </c>
      <c r="D46" s="23" t="s">
        <v>251</v>
      </c>
      <c r="E46" s="23" t="s">
        <v>900</v>
      </c>
      <c r="F46" s="23"/>
      <c r="G46" s="23" t="s">
        <v>881</v>
      </c>
      <c r="H46" s="25"/>
    </row>
    <row r="47" customFormat="false" ht="34.5" hidden="false" customHeight="true" outlineLevel="0" collapsed="false">
      <c r="A47" s="23" t="s">
        <v>901</v>
      </c>
      <c r="B47" s="23" t="s">
        <v>902</v>
      </c>
      <c r="C47" s="23" t="s">
        <v>903</v>
      </c>
      <c r="D47" s="23" t="s">
        <v>107</v>
      </c>
      <c r="E47" s="23" t="s">
        <v>904</v>
      </c>
      <c r="F47" s="23" t="s">
        <v>905</v>
      </c>
      <c r="G47" s="23"/>
      <c r="H47" s="25"/>
    </row>
    <row r="48" customFormat="false" ht="23.25" hidden="false" customHeight="true" outlineLevel="0" collapsed="false">
      <c r="A48" s="23" t="s">
        <v>906</v>
      </c>
      <c r="B48" s="23" t="s">
        <v>902</v>
      </c>
      <c r="C48" s="23" t="s">
        <v>907</v>
      </c>
      <c r="D48" s="23" t="s">
        <v>107</v>
      </c>
      <c r="E48" s="23" t="s">
        <v>908</v>
      </c>
      <c r="F48" s="23" t="s">
        <v>909</v>
      </c>
      <c r="G48" s="23"/>
      <c r="H48" s="25"/>
    </row>
    <row r="49" customFormat="false" ht="57" hidden="false" customHeight="true" outlineLevel="0" collapsed="false">
      <c r="A49" s="23" t="s">
        <v>910</v>
      </c>
      <c r="B49" s="23" t="s">
        <v>902</v>
      </c>
      <c r="C49" s="23" t="s">
        <v>911</v>
      </c>
      <c r="D49" s="23" t="s">
        <v>107</v>
      </c>
      <c r="E49" s="23" t="s">
        <v>912</v>
      </c>
      <c r="F49" s="23" t="s">
        <v>913</v>
      </c>
      <c r="G49" s="23"/>
      <c r="H49" s="25"/>
    </row>
    <row r="50" customFormat="false" ht="23.25" hidden="false" customHeight="true" outlineLevel="0" collapsed="false">
      <c r="A50" s="23" t="s">
        <v>914</v>
      </c>
      <c r="B50" s="23" t="s">
        <v>902</v>
      </c>
      <c r="C50" s="23" t="s">
        <v>915</v>
      </c>
      <c r="D50" s="23" t="s">
        <v>251</v>
      </c>
      <c r="E50" s="23" t="s">
        <v>916</v>
      </c>
      <c r="F50" s="23" t="s">
        <v>228</v>
      </c>
      <c r="G50" s="23" t="s">
        <v>836</v>
      </c>
      <c r="H50" s="25"/>
    </row>
    <row r="51" customFormat="false" ht="23.25" hidden="false" customHeight="true" outlineLevel="0" collapsed="false">
      <c r="A51" s="23" t="s">
        <v>917</v>
      </c>
      <c r="B51" s="23" t="s">
        <v>902</v>
      </c>
      <c r="C51" s="23" t="s">
        <v>918</v>
      </c>
      <c r="D51" s="23" t="s">
        <v>107</v>
      </c>
      <c r="E51" s="23" t="s">
        <v>919</v>
      </c>
      <c r="F51" s="23" t="s">
        <v>506</v>
      </c>
      <c r="G51" s="23"/>
      <c r="H51" s="25"/>
    </row>
    <row r="52" customFormat="false" ht="23.25" hidden="false" customHeight="true" outlineLevel="0" collapsed="false">
      <c r="A52" s="23" t="s">
        <v>920</v>
      </c>
      <c r="B52" s="23" t="s">
        <v>902</v>
      </c>
      <c r="C52" s="23" t="s">
        <v>921</v>
      </c>
      <c r="D52" s="23" t="s">
        <v>107</v>
      </c>
      <c r="E52" s="23" t="s">
        <v>922</v>
      </c>
      <c r="F52" s="23" t="s">
        <v>923</v>
      </c>
      <c r="G52" s="23"/>
      <c r="H52" s="25"/>
    </row>
    <row r="53" customFormat="false" ht="23.25" hidden="false" customHeight="true" outlineLevel="0" collapsed="false">
      <c r="A53" s="23" t="s">
        <v>924</v>
      </c>
      <c r="B53" s="23" t="s">
        <v>902</v>
      </c>
      <c r="C53" s="23" t="s">
        <v>925</v>
      </c>
      <c r="D53" s="23" t="s">
        <v>107</v>
      </c>
      <c r="E53" s="23" t="s">
        <v>926</v>
      </c>
      <c r="F53" s="23" t="s">
        <v>927</v>
      </c>
      <c r="G53" s="23"/>
      <c r="H53" s="25"/>
    </row>
    <row r="54" customFormat="false" ht="23.25" hidden="false" customHeight="true" outlineLevel="0" collapsed="false">
      <c r="A54" s="23" t="s">
        <v>928</v>
      </c>
      <c r="B54" s="23" t="s">
        <v>902</v>
      </c>
      <c r="C54" s="23" t="s">
        <v>929</v>
      </c>
      <c r="D54" s="23" t="s">
        <v>107</v>
      </c>
      <c r="E54" s="23" t="s">
        <v>930</v>
      </c>
      <c r="F54" s="23" t="s">
        <v>931</v>
      </c>
      <c r="G54" s="23"/>
      <c r="H54" s="25"/>
    </row>
    <row r="55" customFormat="false" ht="23.25" hidden="false" customHeight="true" outlineLevel="0" collapsed="false">
      <c r="A55" s="23" t="s">
        <v>932</v>
      </c>
      <c r="B55" s="23" t="s">
        <v>902</v>
      </c>
      <c r="C55" s="23" t="s">
        <v>933</v>
      </c>
      <c r="D55" s="23" t="s">
        <v>107</v>
      </c>
      <c r="E55" s="23" t="s">
        <v>934</v>
      </c>
      <c r="F55" s="23" t="s">
        <v>935</v>
      </c>
      <c r="G55" s="23"/>
      <c r="H55" s="25"/>
    </row>
  </sheetData>
  <dataValidations count="1">
    <dataValidation allowBlank="true" errorStyle="stop" operator="between" showDropDown="false" showErrorMessage="false" showInputMessage="false" sqref="D2:D300" type="list">
      <formula1>"Sí,No,Sin evidencia"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2026-10-20T14:51:32Z</dcterms:created>
  <dc:creator>openpyxl</dc:creator>
  <dc:description/>
  <dc:language>en-US</dc:language>
  <cp:lastModifiedBy/>
  <dcterms:modified xsi:type="dcterms:W3CDTF">2026-10-20T21:36:25Z</dcterms:modified>
  <cp:revision>6</cp:revision>
  <dc:subject/>
  <dc:title/>
</cp:coreProperties>
</file>

<file path=docProps/custom.xml><?xml version="1.0" encoding="utf-8"?>
<Properties xmlns="http://schemas.openxmlformats.org/officeDocument/2006/custom-properties" xmlns:vt="http://schemas.openxmlformats.org/officeDocument/2006/docPropsVTypes"/>
</file>